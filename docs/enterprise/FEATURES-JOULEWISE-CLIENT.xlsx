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eatures" sheetId="2" state="visible" r:id="rId4"/>
    <sheet name="Summary" sheetId="3" state="visible" r:id="rId5"/>
  </sheets>
  <definedNames>
    <definedName function="false" hidden="false" localSheetId="1" name="_xlnm.Print_Titles" vbProcedure="false">Features!$1:$1</definedName>
    <definedName function="false" hidden="true" localSheetId="1" name="_xlnm._FilterDatabase" vbProcedure="false">Features!$A$1:$K$80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<sst xmlns="http://schemas.openxmlformats.org/spreadsheetml/2006/main" count="907" uniqueCount="394">
  <si>
    <t xml:space="preserve">TenderOS Enterprise: features by jouleWise and client responsibility</t>
  </si>
  <si>
    <t xml:space="preserve">One row per feature on the Features sheet. For each: what jouleWise does (green column) and what the client does (yellow column).</t>
  </si>
  <si>
    <t xml:space="preserve">jouleWise: builds, tests, signs and ships the software, keeps the norms and tender packs current, and patches under the AMC.</t>
  </si>
  <si>
    <t xml:space="preserve">Client: provides the inputs and evidence, runs the installation on its own hardware, reviews and signs off, and submits the bid.</t>
  </si>
  <si>
    <t xml:space="preserve">Columns</t>
  </si>
  <si>
    <t xml:space="preserve">ID · Area · Feature · What it does · Client team (which client team fills it in or owns it) · Zone · Status · Priority · jouleWise · Client · Notes / where</t>
  </si>
  <si>
    <t xml:space="preserve">Zone</t>
  </si>
  <si>
    <t xml:space="preserve">DMZ: Tender intake zone: internet-facing, holds the tender documents and the cloud LLMs; no bid data</t>
  </si>
  <si>
    <t xml:space="preserve">Core: Militarised zone: the client's network, TenderOS with the bid, the engine and the model; no cloud LLM</t>
  </si>
  <si>
    <t xml:space="preserve">Both: Present in both zones</t>
  </si>
  <si>
    <t xml:space="preserve">Status</t>
  </si>
  <si>
    <t xml:space="preserve">Live: In TenderOS Demo 2 today</t>
  </si>
  <si>
    <t xml:space="preserve">Extend: Exists today; changes for the enterprise version</t>
  </si>
  <si>
    <t xml:space="preserve">Build: New for the enterprise version</t>
  </si>
  <si>
    <t xml:space="preserve">Priority</t>
  </si>
  <si>
    <t xml:space="preserve">P1: Needed for the first enterprise release</t>
  </si>
  <si>
    <t xml:space="preserve">P2: Second release</t>
  </si>
  <si>
    <t xml:space="preserve">P3: Later</t>
  </si>
  <si>
    <t xml:space="preserve">Client team</t>
  </si>
  <si>
    <t xml:space="preserve">Projects: Bid inputs and assumptions: capacity, dates, tender conditions, market, the bid itself</t>
  </si>
  <si>
    <t xml:space="preserve">Design: Sources, sites, co-location, losses, profiles, plant studios</t>
  </si>
  <si>
    <t xml:space="preserve">Finance: Financing, tax, working capital, debt, the financial model, the quote</t>
  </si>
  <si>
    <t xml:space="preserve">Legal: Tender conditions, amendments, clarifications, formats and letters</t>
  </si>
  <si>
    <t xml:space="preserve">Management: Tender manager / super admin: team, roles, sign-off, submission</t>
  </si>
  <si>
    <t xml:space="preserve">IT: Installation, patches, backups, access</t>
  </si>
  <si>
    <t xml:space="preserve">All: Every team</t>
  </si>
  <si>
    <t xml:space="preserve">The Summary sheet counts the Features sheet with formulas (by area and status, and by client team); it follows any edit.</t>
  </si>
  <si>
    <t xml:space="preserve">Status and Priority cells on the Features sheet have drop-down lists. Edit the jouleWise and Client text freely.</t>
  </si>
  <si>
    <t xml:space="preserve">Built by tools/build_features_split.py from the list in tools/build_enterprise_features.py.</t>
  </si>
  <si>
    <t xml:space="preserve">ID</t>
  </si>
  <si>
    <t xml:space="preserve">Area</t>
  </si>
  <si>
    <t xml:space="preserve">Feature</t>
  </si>
  <si>
    <t xml:space="preserve">What it does</t>
  </si>
  <si>
    <t xml:space="preserve">jouleWise</t>
  </si>
  <si>
    <t xml:space="preserve">Client</t>
  </si>
  <si>
    <t xml:space="preserve">Notes / where</t>
  </si>
  <si>
    <t xml:space="preserve">TI-01</t>
  </si>
  <si>
    <t xml:space="preserve">Tender intake</t>
  </si>
  <si>
    <t xml:space="preserve">Upload a tender</t>
  </si>
  <si>
    <t xml:space="preserve">Any power tender (PDF, Word, text, to 60 MB); the type is detected or chosen</t>
  </si>
  <si>
    <t xml:space="preserve">Legal</t>
  </si>
  <si>
    <t xml:space="preserve">DMZ</t>
  </si>
  <si>
    <t xml:space="preserve">Live</t>
  </si>
  <si>
    <t xml:space="preserve">P1</t>
  </si>
  <si>
    <t xml:space="preserve">Builds and maintains the reading engine (parsers, extraction models, prompts) and the intake-zone screens; ships fixes under AMC</t>
  </si>
  <si>
    <t xml:space="preserve">Uploads the tender documents in the intake zone; Legal reviews the reading (every value on its page) before it is packaged for the core</t>
  </si>
  <si>
    <t xml:space="preserve">Tender to Bid start screen</t>
  </si>
  <si>
    <t xml:space="preserve">TI-02</t>
  </si>
  <si>
    <t xml:space="preserve">Upload a tender set</t>
  </si>
  <si>
    <t xml:space="preserve">RfS with amendments, clarifications and PPA/PSA (to 20 files): amendments applied to the RfS</t>
  </si>
  <si>
    <t xml:space="preserve">engine/extraction/tenderset</t>
  </si>
  <si>
    <t xml:space="preserve">TI-03</t>
  </si>
  <si>
    <t xml:space="preserve">LLM reading of the tender</t>
  </si>
  <si>
    <t xml:space="preserve">Every value with page and quote; sections mapped; scan screen with five agents</t>
  </si>
  <si>
    <t xml:space="preserve">Claude (claude-fable-5-1) through engine/extraction; rule-based reader without a key</t>
  </si>
  <si>
    <t xml:space="preserve">TI-04</t>
  </si>
  <si>
    <t xml:space="preserve">Table reading (Docling)</t>
  </si>
  <si>
    <t xml:space="preserve">Amendment and clarification tables through docling-serve; PyMuPDF fallback</t>
  </si>
  <si>
    <t xml:space="preserve">TI-05</t>
  </si>
  <si>
    <t xml:space="preserve">Scanned pages (LlamaParse)</t>
  </si>
  <si>
    <t xml:space="preserve">Pages without a text layer read through LlamaParse</t>
  </si>
  <si>
    <t xml:space="preserve">P2</t>
  </si>
  <si>
    <t xml:space="preserve">Optional key</t>
  </si>
  <si>
    <t xml:space="preserve">TI-06</t>
  </si>
  <si>
    <t xml:space="preserve">Amendments: changes was → now</t>
  </si>
  <si>
    <t xml:space="preserve">Each clause before and after, with quotes, word diff and effect</t>
  </si>
  <si>
    <t xml:space="preserve">TI-07</t>
  </si>
  <si>
    <t xml:space="preserve">Clarifications with verdicts</t>
  </si>
  <si>
    <t xml:space="preserve">SECI's answers linked to the clauses, accepted / refused</t>
  </si>
  <si>
    <t xml:space="preserve">TI-08</t>
  </si>
  <si>
    <t xml:space="preserve">Consolidated reading</t>
  </si>
  <si>
    <t xml:space="preserve">RfS fields with amendments applied and their history</t>
  </si>
  <si>
    <t xml:space="preserve">TI-09</t>
  </si>
  <si>
    <t xml:space="preserve">Bid formats and bid process</t>
  </si>
  <si>
    <t xml:space="preserve">Formats with blanks and context; the bid steps from registration to PPA</t>
  </si>
  <si>
    <t xml:space="preserve">TI-10</t>
  </si>
  <si>
    <t xml:space="preserve">Search over the tender</t>
  </si>
  <si>
    <t xml:space="preserve">BM25 search over every page of the set</t>
  </si>
  <si>
    <t xml:space="preserve">All</t>
  </si>
  <si>
    <t xml:space="preserve">Haystack</t>
  </si>
  <si>
    <t xml:space="preserve">TI-11</t>
  </si>
  <si>
    <t xml:space="preserve">Curated tender packs</t>
  </si>
  <si>
    <t xml:space="preserve">A reviewed pack per tender (SECI FDRE-RTC-V): conditions, changes, clarifications, formats, every quote checked on its page</t>
  </si>
  <si>
    <t xml:space="preserve">web/src/seci/seci-rtc-tm-v.json; tests/test_seci_pack.py</t>
  </si>
  <si>
    <t xml:space="preserve">TI-12</t>
  </si>
  <si>
    <t xml:space="preserve">Pre-bid queries</t>
  </si>
  <si>
    <t xml:space="preserve">Points to raise with the issuer, each quoting the clause and page; Word file</t>
  </si>
  <si>
    <t xml:space="preserve">TI-13</t>
  </si>
  <si>
    <t xml:space="preserve">Tender questions by voice / chat</t>
  </si>
  <si>
    <t xml:space="preserve">Ask the extracted tender questions; answers cite document and page</t>
  </si>
  <si>
    <t xml:space="preserve">Extend</t>
  </si>
  <si>
    <t xml:space="preserve">GPT-Live bid agent today also drives the bid; in the DMZ it answers tender questions only</t>
  </si>
  <si>
    <t xml:space="preserve">TI-14</t>
  </si>
  <si>
    <t xml:space="preserve">CERC orders</t>
  </si>
  <si>
    <t xml:space="preserve">Tariff-adoption orders uploaded and read into facts with page and quote; SECI results as reported</t>
  </si>
  <si>
    <t xml:space="preserve">Finance</t>
  </si>
  <si>
    <t xml:space="preserve">P3</t>
  </si>
  <si>
    <t xml:space="preserve">Recent tenders tab</t>
  </si>
  <si>
    <t xml:space="preserve">TI-15</t>
  </si>
  <si>
    <t xml:space="preserve">Claude connector (MCP)</t>
  </si>
  <si>
    <t xml:space="preserve">TenderOS tools in Claude: tender lookup with citations, sizing, financials, What-if</t>
  </si>
  <si>
    <t xml:space="preserve">Provides the connector and its tools; off in the core by default</t>
  </si>
  <si>
    <t xml:space="preserve">Decides whether the connector is allowed in the intake zone; manages the token</t>
  </si>
  <si>
    <t xml:space="preserve">Demo only; in the enterprise version limited to the tender (no bid data) or off</t>
  </si>
  <si>
    <t xml:space="preserve">TI-16</t>
  </si>
  <si>
    <t xml:space="preserve">Review before transfer</t>
  </si>
  <si>
    <t xml:space="preserve">A reviewer confirms the reading (every value located on its page) before it is packaged for the core</t>
  </si>
  <si>
    <t xml:space="preserve">Build</t>
  </si>
  <si>
    <t xml:space="preserve">Builds the review screen with every value on its page</t>
  </si>
  <si>
    <t xml:space="preserve">Legal reviews and confirms the reading before transfer</t>
  </si>
  <si>
    <t xml:space="preserve">Today: the reviewer ticks unlocated values in the workflow</t>
  </si>
  <si>
    <t xml:space="preserve">TI-17</t>
  </si>
  <si>
    <t xml:space="preserve">Transfer package to the core</t>
  </si>
  <si>
    <t xml:space="preserve">The reading, the pack and the documents exported as one signed, checksummed bundle; imported inside the core</t>
  </si>
  <si>
    <t xml:space="preserve">IT</t>
  </si>
  <si>
    <t xml:space="preserve">Both</t>
  </si>
  <si>
    <t xml:space="preserve">Builds the signed package format, the export and the import tool</t>
  </si>
  <si>
    <t xml:space="preserve">IT carries the package across the one-way transfer (file drop or diode) and imports it in the core</t>
  </si>
  <si>
    <t xml:space="preserve">One-way: documents in, nothing out</t>
  </si>
  <si>
    <t xml:space="preserve">BW-01</t>
  </si>
  <si>
    <t xml:space="preserve">Bid workspace</t>
  </si>
  <si>
    <t xml:space="preserve">Step-wise bid navigation</t>
  </si>
  <si>
    <t xml:space="preserve">One tender, one bid, steps in order with sign-off per step: Tender → Bid inputs → Design → Finance inputs → Sizing → Results → Financial model → What-if → Bid forms → Submission</t>
  </si>
  <si>
    <t xml:space="preserve">Core</t>
  </si>
  <si>
    <t xml:space="preserve">Builds, tests and patches the bid workspace; keeps the steps, benchmarks and tender packs current</t>
  </si>
  <si>
    <t xml:space="preserve">Projects, Design, Finance and Legal enter their inputs step by step, attach evidence and sign off; the tender manager runs the bid</t>
  </si>
  <si>
    <t xml:space="preserve">SECI RTC tab: Tender → Conditions → Bid inputs (Projects) → Design → Finance inputs → Size → Financial model → What-if → Bid forms → Winning bid, each step labelled with its team; sign-off is per box (Evidence)</t>
  </si>
  <si>
    <t xml:space="preserve">BW-02</t>
  </si>
  <si>
    <t xml:space="preserve">Team-wise input tabs</t>
  </si>
  <si>
    <t xml:space="preserve">Projects (bid inputs and assumptions), Design and Finance each get their own input tab; each box shows who owns it and whether it is filled, evidenced and signed off</t>
  </si>
  <si>
    <t xml:space="preserve">Bid inputs (Projects), Design, Finance inputs as steps of their own; the paperclip on every box shows evidence and sign-off</t>
  </si>
  <si>
    <t xml:space="preserve">BW-03</t>
  </si>
  <si>
    <t xml:space="preserve">Bid inputs and assumptions (Projects)</t>
  </si>
  <si>
    <t xml:space="preserve">Contracted MW, dates, supply profile and planning choices (Peak Hours, shortfall), market sale, assumptions register</t>
  </si>
  <si>
    <t xml:space="preserve">Projects</t>
  </si>
  <si>
    <t xml:space="preserve">The Bid inputs step; the assumptions register is the evidence register</t>
  </si>
  <si>
    <t xml:space="preserve">BW-04</t>
  </si>
  <si>
    <t xml:space="preserve">Benchmarks</t>
  </si>
  <si>
    <t xml:space="preserve">Industry benchmarks (CERC norms, market prices) fill empty inputs, marked as benchmarks until changed</t>
  </si>
  <si>
    <t xml:space="preserve">Keeps the CERC norms and market prices current in the benchmarks</t>
  </si>
  <si>
    <t xml:space="preserve">Replaces benchmarks with its own numbers and evidence</t>
  </si>
  <si>
    <t xml:space="preserve">BW-05</t>
  </si>
  <si>
    <t xml:space="preserve">Tender conditions checklist</t>
  </si>
  <si>
    <t xml:space="preserve">Every condition against the bid: met, failed, pending; with page and quote</t>
  </si>
  <si>
    <t xml:space="preserve">BW-06</t>
  </si>
  <si>
    <t xml:space="preserve">Saved bids with versions</t>
  </si>
  <si>
    <t xml:space="preserve">A bid saved to the library with versions; opened later; compared</t>
  </si>
  <si>
    <t xml:space="preserve">Management</t>
  </si>
  <si>
    <t xml:space="preserve">Scenario library</t>
  </si>
  <si>
    <t xml:space="preserve">BW-07</t>
  </si>
  <si>
    <t xml:space="preserve">Sign-off per step and submission lock</t>
  </si>
  <si>
    <t xml:space="preserve">Each team signs off its step; the manager freezes the bid for submission; later edits make a new version</t>
  </si>
  <si>
    <t xml:space="preserve">BW-08</t>
  </si>
  <si>
    <t xml:space="preserve">Bid forms and letters</t>
  </si>
  <si>
    <t xml:space="preserve">Every RfS format filled from the bid, reviewed beside its page; letters in the RfS wording, editable; Word and PDF; the bid pack</t>
  </si>
  <si>
    <t xml:space="preserve">Builds every format and letter of each tender pack</t>
  </si>
  <si>
    <t xml:space="preserve">Legal reviews, edits the wording and signs the pack</t>
  </si>
  <si>
    <t xml:space="preserve">SECI formats today; other tenders through their packs</t>
  </si>
  <si>
    <t xml:space="preserve">BW-09</t>
  </si>
  <si>
    <t xml:space="preserve">Winning bid analysis</t>
  </si>
  <si>
    <t xml:space="preserve">The auction result and a bridge from the benchmark tariff to it, lever by lever</t>
  </si>
  <si>
    <t xml:space="preserve">D-01</t>
  </si>
  <si>
    <t xml:space="preserve">Design</t>
  </si>
  <si>
    <t xml:space="preserve">Supply sources</t>
  </si>
  <si>
    <t xml:space="preserve">Solar, wind, battery, biomass, hydro, thermal with costs, limits and fixed sizes</t>
  </si>
  <si>
    <t xml:space="preserve">Builds the design tools (sources, studios, profiles, schematic, losses, DSM model) and keeps the engineering norms current</t>
  </si>
  <si>
    <t xml:space="preserve">Design team provides the CUF files, costs, site layout and losses, with evidence; validates the DSM norms against the regulations in force</t>
  </si>
  <si>
    <t xml:space="preserve">D-02</t>
  </si>
  <si>
    <t xml:space="preserve">Solar plant studio</t>
  </si>
  <si>
    <t xml:space="preserve">Layout from modules, mounting, string or central inverters; cost in ₹/Wp; writes the cost into the bid</t>
  </si>
  <si>
    <t xml:space="preserve">D-03</t>
  </si>
  <si>
    <t xml:space="preserve">Wind farm studio</t>
  </si>
  <si>
    <t xml:space="preserve">Turbines by make, CUF at the site's wind, farm cost; writes the cost into the bid</t>
  </si>
  <si>
    <t xml:space="preserve">D-04</t>
  </si>
  <si>
    <t xml:space="preserve">Profiles: upload and view</t>
  </si>
  <si>
    <t xml:space="preserve">Hourly solar and wind profiles uploaded; CUF, month × hour heat map, monthly CUF, a week</t>
  </si>
  <si>
    <t xml:space="preserve">D-05</t>
  </si>
  <si>
    <t xml:space="preserve">CUF file download</t>
  </si>
  <si>
    <t xml:space="preserve">Download the profile used in the bid (as uploaded, and as scaled to the CUF entered) with its statistics</t>
  </si>
  <si>
    <t xml:space="preserve">Builds the download</t>
  </si>
  <si>
    <t xml:space="preserve">Design keeps the file with the bid pack as evidence</t>
  </si>
  <si>
    <t xml:space="preserve">CSV built in the browser; tools/check_cuf_file.mjs</t>
  </si>
  <si>
    <t xml:space="preserve">D-06</t>
  </si>
  <si>
    <t xml:space="preserve">25-year CUF justification</t>
  </si>
  <si>
    <t xml:space="preserve">Why one year's profile stands for 25: the source and period of the data, P50/P90, degradation per year, inter-annual variability, the typical year method; a note in the bid pack</t>
  </si>
  <si>
    <t xml:space="preserve">Builds the justification note and the Word export</t>
  </si>
  <si>
    <t xml:space="preserve">Design provides the data source, period, P50/P90 report and the assessor's name</t>
  </si>
  <si>
    <t xml:space="preserve">Panel on the profile with P50/P90 inputs; Word file from POST /api/plant/justification</t>
  </si>
  <si>
    <t xml:space="preserve">D-07</t>
  </si>
  <si>
    <t xml:space="preserve">Losses to the billing meter</t>
  </si>
  <si>
    <t xml:space="preserve">Each technology's stages to the 33 kV bus with where its CUF is measured; the 33/220 kV transformer and the line</t>
  </si>
  <si>
    <t xml:space="preserve">D-08</t>
  </si>
  <si>
    <t xml:space="preserve">Separate sites</t>
  </si>
  <si>
    <t xml:space="preserve">Solar and wind on different sites, each with its own battery; no energy between them</t>
  </si>
  <si>
    <t xml:space="preserve">D-09</t>
  </si>
  <si>
    <t xml:space="preserve">Co-located solar + BESS and wind + BESS</t>
  </si>
  <si>
    <t xml:space="preserve">Which site each battery sits on and charges from; one or two pooling stations</t>
  </si>
  <si>
    <t xml:space="preserve">One site (shared pooling station) or separate sites, each with its own battery and pooling station; the losses of each reach the sizing</t>
  </si>
  <si>
    <t xml:space="preserve">D-10</t>
  </si>
  <si>
    <t xml:space="preserve">Site schematic (single-line)</t>
  </si>
  <si>
    <t xml:space="preserve">A drawing of the chosen layout: solar, wind and battery blocks, their transformers, the pooling station(s), the line to the billing meter; losses shown at each stage and summed at the pooling station</t>
  </si>
  <si>
    <t xml:space="preserve">bid/SiteSchematic.jsx: one or two pooling stations with their transformer and line losses; inputs beside the drawing</t>
  </si>
  <si>
    <t xml:space="preserve">D-11</t>
  </si>
  <si>
    <t xml:space="preserve">Deviation settlement (DSM) per CERC</t>
  </si>
  <si>
    <t xml:space="preserve">Forecast error on solar and wind by block, the DSM charges under the CERC DSM Regulations (bands by % deviation, the RE schedule revision allowance), a forecasting accuracy input, the cost in the model</t>
  </si>
  <si>
    <t xml:space="preserve">Builds the DSM model with editable norms and keeps the regulations' structure current</t>
  </si>
  <si>
    <t xml:space="preserve">Design and Finance set the forecast-error and the norms from the notified text; validate against their DSM bills</t>
  </si>
  <si>
    <t xml:space="preserve">src/dsm: forecast-error distribution, tolerance band by year, X factor trajectory, steps beyond the band; norms editable; verify against the notified text</t>
  </si>
  <si>
    <t xml:space="preserve">D-12</t>
  </si>
  <si>
    <t xml:space="preserve">Degradation and augmentation</t>
  </si>
  <si>
    <t xml:space="preserve">Solar, wind and battery degradation; battery augmentation annual or one-time with price decline</t>
  </si>
  <si>
    <t xml:space="preserve">S-01</t>
  </si>
  <si>
    <t xml:space="preserve">Sizing</t>
  </si>
  <si>
    <t xml:space="preserve">Sizing engine</t>
  </si>
  <si>
    <t xml:space="preserve">The least-tariff plant that meets every tender condition over the PPA term; a seed from the last sizing</t>
  </si>
  <si>
    <t xml:space="preserve">Owns the optimizer (jouleWise IP, delivered sealed), its performance and its tuning; supports runs under AMC</t>
  </si>
  <si>
    <t xml:space="preserve">Runs the sizing on its own hardware; reviews the sizes and the compliance with the tender</t>
  </si>
  <si>
    <t xml:space="preserve">Proprietary; described by its interface only</t>
  </si>
  <si>
    <t xml:space="preserve">S-02</t>
  </si>
  <si>
    <t xml:space="preserve">Tender supply rules</t>
  </si>
  <si>
    <t xml:space="preserve">Annual, monthly and time-block floors (every 15-minute block), peak hours as planned (costliest IEX hours, any of the window, evening), shortfall at a penalty or hard</t>
  </si>
  <si>
    <t xml:space="preserve">S-03</t>
  </si>
  <si>
    <t xml:space="preserve">Market sale of surplus</t>
  </si>
  <si>
    <t xml:space="preserve">Sales on IEX (hourly DAM/G-DAM prices) or at a flat price; PPA first; buyer's first right at a share of the tariff</t>
  </si>
  <si>
    <t xml:space="preserve">S-04</t>
  </si>
  <si>
    <t xml:space="preserve">15-minute dispatch, every PPA year</t>
  </si>
  <si>
    <t xml:space="preserve">Block-wise dispatch with ramp and minimum, every floor checked, CSV/ZIP and Excel</t>
  </si>
  <si>
    <t xml:space="preserve">S-05</t>
  </si>
  <si>
    <t xml:space="preserve">Dispatch sheets in Excel</t>
  </si>
  <si>
    <t xml:space="preserve">Every modelled year hour by hour as formulas; the yearly energy of the model comes from them</t>
  </si>
  <si>
    <t xml:space="preserve">S-06</t>
  </si>
  <si>
    <t xml:space="preserve">Compliance table and hourly charts</t>
  </si>
  <si>
    <t xml:space="preserve">Floors met per year, the week's dispatch, the per-hour Sankey of where energy went</t>
  </si>
  <si>
    <t xml:space="preserve">F-01</t>
  </si>
  <si>
    <t xml:space="preserve">Financing inputs (Finance tab)</t>
  </si>
  <si>
    <t xml:space="preserve">Target equity IRR, debt share, rate, tenor, repayment, tax, depreciation, O&amp;M escalation, insurance, receivables, discount rate</t>
  </si>
  <si>
    <t xml:space="preserve">Builds the 25-year financial model and its Excel twin, checked against LibreOffice; keeps tax and CERC norms current</t>
  </si>
  <si>
    <t xml:space="preserve">Finance team provides the financing terms, lender's conditions and working-capital norms, with evidence; validates against its own model</t>
  </si>
  <si>
    <t xml:space="preserve">The Finance inputs step of the SECI flow (and the Financials step of every tab)</t>
  </si>
  <si>
    <t xml:space="preserve">F-02</t>
  </si>
  <si>
    <t xml:space="preserve">25-year financial model</t>
  </si>
  <si>
    <t xml:space="preserve">Revenue, penalties, O&amp;M, insurance, augmentation, depreciation (WDV/SLM), tax with loss carry-forward, debt, DSCR, IRRs, LCOE, payback</t>
  </si>
  <si>
    <t xml:space="preserve">F-03</t>
  </si>
  <si>
    <t xml:space="preserve">Tariff for the target IRR</t>
  </si>
  <si>
    <t xml:space="preserve">The tariff that gives the target equity IRR; a quoted tariff's equity and project IRR with a warning below target</t>
  </si>
  <si>
    <t xml:space="preserve">F-04</t>
  </si>
  <si>
    <t xml:space="preserve">Traceable model</t>
  </si>
  <si>
    <t xml:space="preserve">Every number's formula, precedents, dependents and the inputs it rests on, in the app</t>
  </si>
  <si>
    <t xml:space="preserve">F-05</t>
  </si>
  <si>
    <t xml:space="preserve">Excel model with live formulas</t>
  </si>
  <si>
    <t xml:space="preserve">The whole model as Excel formulas (Live model sheet), recalculated by LibreOffice in tests to the app's numbers</t>
  </si>
  <si>
    <t xml:space="preserve">F-06</t>
  </si>
  <si>
    <t xml:space="preserve">Construction phase, monthly</t>
  </si>
  <si>
    <t xml:space="preserve">Monthly model from financial closure to commissioning: drawdown schedule, equity first or pro rata, capex phasing by package, commissioning in parts</t>
  </si>
  <si>
    <t xml:space="preserve">Months, drawdown profile (even, S-curve, front, back), equity first or pro rata; Construction sheet in Excel. Phasing by package and commissioning in parts: not built</t>
  </si>
  <si>
    <t xml:space="preserve">F-07</t>
  </si>
  <si>
    <t xml:space="preserve">Interest during construction (IDC)</t>
  </si>
  <si>
    <t xml:space="preserve">IDC computed month by month from the drawdowns and the rate, capitalised into the project cost (today a % of hard cost)</t>
  </si>
  <si>
    <t xml:space="preserve">Month by month on the debt drawn, capitalised as debt; 0 months keeps the pre-operative % as before</t>
  </si>
  <si>
    <t xml:space="preserve">F-08</t>
  </si>
  <si>
    <t xml:space="preserve">Operations phase, yearly</t>
  </si>
  <si>
    <t xml:space="preserve">The yearly model starts at commissioning (COD) with the construction balances carried in</t>
  </si>
  <si>
    <t xml:space="preserve">Year 1 starts at COD with the debt (incl. IDC) and equity from the construction schedule</t>
  </si>
  <si>
    <t xml:space="preserve">F-09</t>
  </si>
  <si>
    <t xml:space="preserve">Working capital</t>
  </si>
  <si>
    <t xml:space="preserve">Receivables (days), O&amp;M stock, maintenance spares, DSM and penalty reserve; working capital loan with its own rate and margin; letter of credit cost</t>
  </si>
  <si>
    <t xml:space="preserve">Receivable days, O&amp;M in hand (months), spares (% of O&amp;M), interest on the working capital, DSRA. DSM/penalty reserve and letter-of-credit cost: not built</t>
  </si>
  <si>
    <t xml:space="preserve">F-10</t>
  </si>
  <si>
    <t xml:space="preserve">Repayment methods</t>
  </si>
  <si>
    <t xml:space="preserve">Equal principal, annuity, sculpted to a target DSCR, balloon / bullet, step-up; grace period / moratorium; quarterly or yearly instalments</t>
  </si>
  <si>
    <t xml:space="preserve">Equal, annuity, sculpted, balloon, bullet, step-up; moratorium; yearly, half-yearly, quarterly or monthly instalments; all as Excel formulas</t>
  </si>
  <si>
    <t xml:space="preserve">F-11</t>
  </si>
  <si>
    <t xml:space="preserve">Debt sculpting</t>
  </si>
  <si>
    <t xml:space="preserve">Principal shaped to hold a target DSCR each year given CFADS; minimum and average DSCR reported</t>
  </si>
  <si>
    <t xml:space="preserve">Principal = CFADS ÷ target DSCR − interest each year; the last year clears the balance</t>
  </si>
  <si>
    <t xml:space="preserve">F-12</t>
  </si>
  <si>
    <t xml:space="preserve">Refinancing</t>
  </si>
  <si>
    <t xml:space="preserve">Refinance in a chosen year at a new rate and tenor, with fees and prepayment cost; before/after returns</t>
  </si>
  <si>
    <t xml:space="preserve">Year, new rate, new tenor, fee on the balance; the schedule continues under the same method. Prepayment cost: use the fee</t>
  </si>
  <si>
    <t xml:space="preserve">F-13</t>
  </si>
  <si>
    <t xml:space="preserve">DSCR and lender's view</t>
  </si>
  <si>
    <t xml:space="preserve">Minimum and average DSCR, lender's IRR, DSRA, covenants flagged</t>
  </si>
  <si>
    <t xml:space="preserve">Min/avg DSCR, DSRA, lender's IRR (What-if); DSCR below 1.1 flagged red. Covenant list: not built</t>
  </si>
  <si>
    <t xml:space="preserve">F-14</t>
  </si>
  <si>
    <t xml:space="preserve">Deviation settlement cost in the model</t>
  </si>
  <si>
    <t xml:space="preserve">The DSM charges from the Design tab as an operating cost line</t>
  </si>
  <si>
    <t xml:space="preserve">DSM charges as an operating-cost line, a line in the year's tariff; in the Excel model as formulas</t>
  </si>
  <si>
    <t xml:space="preserve">F-15</t>
  </si>
  <si>
    <t xml:space="preserve">Money at stake</t>
  </si>
  <si>
    <t xml:space="preserve">EMD, PBG and net worth on the installed capacity</t>
  </si>
  <si>
    <t xml:space="preserve">Per tender pack</t>
  </si>
  <si>
    <t xml:space="preserve">W-01</t>
  </si>
  <si>
    <t xml:space="preserve">What-if</t>
  </si>
  <si>
    <t xml:space="preserve">What-if after sizing</t>
  </si>
  <si>
    <t xml:space="preserve">Opens on the sized plant: the optimum as the base case, every input as a lever</t>
  </si>
  <si>
    <t xml:space="preserve">Builds the What-if and the tariff levers; keeps them in step with the model</t>
  </si>
  <si>
    <t xml:space="preserve">Management and Finance use them on bid day to decide the tariff to quote</t>
  </si>
  <si>
    <t xml:space="preserve">The What-if step of the SECI flow starts from the sized plant and every input of the bid</t>
  </si>
  <si>
    <t xml:space="preserve">W-02</t>
  </si>
  <si>
    <t xml:space="preserve">Tariff levers on bid day</t>
  </si>
  <si>
    <t xml:space="preserve">Set a tariff and see which levers reach it: cost, CUF, financing, IRR, storage, sale; each lever's effect on the tariff and the IRR; instant</t>
  </si>
  <si>
    <t xml:space="preserve">whatif/levers.js: each lever's tariff a step up and down, ₹/kWh per step, the move of that lever alone to reach the tariff wanted; Apply</t>
  </si>
  <si>
    <t xml:space="preserve">W-03</t>
  </si>
  <si>
    <t xml:space="preserve">Sensitivity table</t>
  </si>
  <si>
    <t xml:space="preserve">One-way and two-way sensitivities (tariff vs capex, CUF, rate) with the base case marked</t>
  </si>
  <si>
    <t xml:space="preserve">The Sensitivity sheet of the Excel model: one-way tables and two-way grids (capex, CUF, interest rate) from full runs of the model</t>
  </si>
  <si>
    <t xml:space="preserve">W-04</t>
  </si>
  <si>
    <t xml:space="preserve">Scenario compare</t>
  </si>
  <si>
    <t xml:space="preserve">Saved what-if cases side by side with the base</t>
  </si>
  <si>
    <t xml:space="preserve">Scenario compare exists for saved bids</t>
  </si>
  <si>
    <t xml:space="preserve">E-01</t>
  </si>
  <si>
    <t xml:space="preserve">Evidence</t>
  </si>
  <si>
    <t xml:space="preserve">Evidence upload per input</t>
  </si>
  <si>
    <t xml:space="preserve">Any input (CUF, costs, financing, conditions) carries files or links as evidence: quotes, reports, data sheets; who uploaded it and when</t>
  </si>
  <si>
    <t xml:space="preserve">Builds evidence, sign-off, the register and the audit log; patches them under AMC</t>
  </si>
  <si>
    <t xml:space="preserve">Every team attaches evidence to its inputs; the super admin signs values off; IT keeps the exports</t>
  </si>
  <si>
    <t xml:space="preserve">Paperclip on every box: files, links, notes with who and when; migration 012</t>
  </si>
  <si>
    <t xml:space="preserve">E-02</t>
  </si>
  <si>
    <t xml:space="preserve">Feedback and change requests</t>
  </si>
  <si>
    <t xml:space="preserve">Give feedback: click any section of any page and write what should change; the Change requests tab lists every request (when, where, comment, by which team) with approve / reject; the approved ones export as one Markdown prompt for jouleWise to apply with Claude Code under the AMC</t>
  </si>
  <si>
    <t xml:space="preserve">web/src/feedback; tests/e2e/test_feedback.py</t>
  </si>
  <si>
    <t xml:space="preserve">E-03</t>
  </si>
  <si>
    <t xml:space="preserve">Evidence status on every box</t>
  </si>
  <si>
    <t xml:space="preserve">Each box shows filled / evidenced / signed off; the bid pack lists the evidence register</t>
  </si>
  <si>
    <t xml:space="preserve">Faint / with count / signed off at this value / signed at an older value; the register as CSV</t>
  </si>
  <si>
    <t xml:space="preserve">E-04</t>
  </si>
  <si>
    <t xml:space="preserve">Assignments</t>
  </si>
  <si>
    <t xml:space="preserve">A data point assigned to a team or person; answer with a value, note or file; accept or return into the bid as a new version</t>
  </si>
  <si>
    <t xml:space="preserve">E-05</t>
  </si>
  <si>
    <t xml:space="preserve">Pings from any box (@mentions)</t>
  </si>
  <si>
    <t xml:space="preserve">A thread on every input box; mention a teammate; reply with a value; Fill in</t>
  </si>
  <si>
    <t xml:space="preserve">E-06</t>
  </si>
  <si>
    <t xml:space="preserve">Team setup</t>
  </si>
  <si>
    <t xml:space="preserve">People, teams, super admin, titles, the tabs they cover</t>
  </si>
  <si>
    <t xml:space="preserve">E-07</t>
  </si>
  <si>
    <t xml:space="preserve">Activity and audit log</t>
  </si>
  <si>
    <t xml:space="preserve">Every sizing, export and change logged with user and time; exportable</t>
  </si>
  <si>
    <t xml:space="preserve">Activity log today; export to build</t>
  </si>
  <si>
    <t xml:space="preserve">E-08</t>
  </si>
  <si>
    <t xml:space="preserve">Email notifications</t>
  </si>
  <si>
    <t xml:space="preserve">Assignments and pings by email through the client's SMTP</t>
  </si>
  <si>
    <t xml:space="preserve">P-01</t>
  </si>
  <si>
    <t xml:space="preserve">Platform</t>
  </si>
  <si>
    <t xml:space="preserve">Users, sign-in and tab access</t>
  </si>
  <si>
    <t xml:space="preserve">Accounts, administrator, tabs granted per user</t>
  </si>
  <si>
    <t xml:space="preserve">Builds accounts, roles and tab access</t>
  </si>
  <si>
    <t xml:space="preserve">IT creates users, grants tabs and removes leavers</t>
  </si>
  <si>
    <t xml:space="preserve">P-02</t>
  </si>
  <si>
    <t xml:space="preserve">Enterprise sign-in (SSO)</t>
  </si>
  <si>
    <t xml:space="preserve">The client's directory (SAML/OIDC or LDAP) for sign-in</t>
  </si>
  <si>
    <t xml:space="preserve">Integrates SAML/OIDC or LDAP</t>
  </si>
  <si>
    <t xml:space="preserve">IT provides the identity provider, the metadata and the groups</t>
  </si>
  <si>
    <t xml:space="preserve">P-03</t>
  </si>
  <si>
    <t xml:space="preserve">Air-gapped installation</t>
  </si>
  <si>
    <t xml:space="preserve">Everything as an offline bundle: images, database, no outbound traffic from the core; verified checksums</t>
  </si>
  <si>
    <t xml:space="preserve">Builds the offline bundle (images, compose, migrations, checksums, signature) and the installer</t>
  </si>
  <si>
    <t xml:space="preserve">IT provides the servers, Docker, the certificate and the firewall rules; installs with install.sh</t>
  </si>
  <si>
    <t xml:space="preserve">deploy/enterprise: images.tar, compose overlay with internal networks, install.sh; not run against a Docker daemon in this session</t>
  </si>
  <si>
    <t xml:space="preserve">P-04</t>
  </si>
  <si>
    <t xml:space="preserve">Patches under AMC</t>
  </si>
  <si>
    <t xml:space="preserve">Signed offline patch bundles from jouleWise, applied by the client's IT with one command, with health check and rollback; a changelog per patch</t>
  </si>
  <si>
    <t xml:space="preserve">Signs and ships each patch bundle with its changelog; supports the apply and any rollback</t>
  </si>
  <si>
    <t xml:space="preserve">IT verifies and applies the bundle with tenderos-patch; keeps the backups it makes</t>
  </si>
  <si>
    <t xml:space="preserve">tenderos-patch verify/apply/rollback/status on signed bundles (manifest + ECDSA signature); apply/rollback not exercised against a Docker daemon here</t>
  </si>
  <si>
    <t xml:space="preserve">P-05</t>
  </si>
  <si>
    <t xml:space="preserve">Backups and restore</t>
  </si>
  <si>
    <t xml:space="preserve">Database and files backed up on a schedule; restore tested</t>
  </si>
  <si>
    <t xml:space="preserve">Provides the backup and restore scripts and tests them</t>
  </si>
  <si>
    <t xml:space="preserve">IT schedules the backups, stores them off the server and tests a restore</t>
  </si>
  <si>
    <t xml:space="preserve">deploy/backup.sh today</t>
  </si>
  <si>
    <t xml:space="preserve">P-06</t>
  </si>
  <si>
    <t xml:space="preserve">HTTPS and firewall</t>
  </si>
  <si>
    <t xml:space="preserve">TLS at the edge; allowlists</t>
  </si>
  <si>
    <t xml:space="preserve">Configures TLS at the edge and documents the rules per zone</t>
  </si>
  <si>
    <t xml:space="preserve">IT provides the certificate and enforces the firewall allowlists</t>
  </si>
  <si>
    <t xml:space="preserve">P-07</t>
  </si>
  <si>
    <t xml:space="preserve">Day and night mode</t>
  </si>
  <si>
    <t xml:space="preserve">Both modes, remembered per browser</t>
  </si>
  <si>
    <t xml:space="preserve">Builds it</t>
  </si>
  <si>
    <t xml:space="preserve">Each user picks</t>
  </si>
  <si>
    <t xml:space="preserve">P-08</t>
  </si>
  <si>
    <t xml:space="preserve">Demo mode</t>
  </si>
  <si>
    <t xml:space="preserve">No sign-in; View as to switch seats</t>
  </si>
  <si>
    <t xml:space="preserve">Provides it for demonstrations</t>
  </si>
  <si>
    <t xml:space="preserve">Not used in the core: real sign-in only</t>
  </si>
  <si>
    <t xml:space="preserve">Not in the core</t>
  </si>
  <si>
    <t xml:space="preserve">Features by area and status</t>
  </si>
  <si>
    <t xml:space="preserve">Total</t>
  </si>
  <si>
    <t xml:space="preserve">Features by client team</t>
  </si>
  <si>
    <t xml:space="preserve">Features</t>
  </si>
  <si>
    <t xml:space="preserve">To build or extend</t>
  </si>
  <si>
    <t xml:space="preserve">Responsibility, in one line</t>
  </si>
  <si>
    <t xml:space="preserve">Builds, tests, signs and ships every feature; keeps norms, benchmarks and tender packs current; patches the core under the AMC; supports IT on installation, upgrades and rollback.</t>
  </si>
  <si>
    <t xml:space="preserve">Provides the tender documents, inputs, evidence and lender's terms; installs and runs TenderOS on its own hardware; reviews and signs off each step; decides and submits the bid.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</si>
</sst>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5700"/>
        <sz val="1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14</v>
      </c>
    </row>
    <row r="21" customFormat="false" ht="15" hidden="false" customHeight="false" outlineLevel="0" collapsed="false">
      <c r="A21" s="2" t="s">
        <v>15</v>
      </c>
    </row>
    <row r="22" customFormat="false" ht="15" hidden="false" customHeight="false" outlineLevel="0" collapsed="false">
      <c r="A22" s="2" t="s">
        <v>16</v>
      </c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3" t="s">
        <v>18</v>
      </c>
    </row>
    <row r="26" customFormat="false" ht="15" hidden="false" customHeight="false" outlineLevel="0" collapsed="false">
      <c r="A26" s="2" t="s">
        <v>19</v>
      </c>
    </row>
    <row r="27" customFormat="false" ht="15" hidden="false" customHeight="false" outlineLevel="0" collapsed="false">
      <c r="A27" s="2" t="s">
        <v>20</v>
      </c>
    </row>
    <row r="28" customFormat="false" ht="15" hidden="false" customHeight="false" outlineLevel="0" collapsed="false">
      <c r="A28" s="2" t="s">
        <v>21</v>
      </c>
    </row>
    <row r="29" customFormat="false" ht="15" hidden="false" customHeight="false" outlineLevel="0" collapsed="false">
      <c r="A29" s="2" t="s">
        <v>22</v>
      </c>
    </row>
    <row r="30" customFormat="false" ht="15" hidden="false" customHeight="false" outlineLevel="0" collapsed="false">
      <c r="A30" s="2" t="s">
        <v>23</v>
      </c>
    </row>
    <row r="31" customFormat="false" ht="15" hidden="false" customHeight="false" outlineLevel="0" collapsed="false">
      <c r="A31" s="2" t="s">
        <v>24</v>
      </c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2"/>
    </row>
    <row r="34" customFormat="false" ht="15" hidden="false" customHeight="false" outlineLevel="0" collapsed="false">
      <c r="A34" s="2" t="s">
        <v>26</v>
      </c>
    </row>
    <row r="35" customFormat="false" ht="15" hidden="false" customHeight="false" outlineLevel="0" collapsed="false">
      <c r="A35" s="2" t="s">
        <v>27</v>
      </c>
    </row>
    <row r="36" customFormat="false" ht="15" hidden="false" customHeight="false" outlineLevel="0" collapsed="false">
      <c r="A36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10" min="9" style="0" width="48"/>
    <col collapsed="false" customWidth="true" hidden="false" outlineLevel="0" max="11" min="11" style="0" width="40"/>
  </cols>
  <sheetData>
    <row r="1" customFormat="false" ht="30" hidden="false" customHeight="true" outlineLevel="0" collapsed="false">
      <c r="A1" s="4" t="s">
        <v>29</v>
      </c>
      <c r="B1" s="4" t="s">
        <v>30</v>
      </c>
      <c r="C1" s="4" t="s">
        <v>31</v>
      </c>
      <c r="D1" s="4" t="s">
        <v>32</v>
      </c>
      <c r="E1" s="4" t="s">
        <v>18</v>
      </c>
      <c r="F1" s="4" t="s">
        <v>6</v>
      </c>
      <c r="G1" s="4" t="s">
        <v>10</v>
      </c>
      <c r="H1" s="4" t="s">
        <v>14</v>
      </c>
      <c r="I1" s="4" t="s">
        <v>33</v>
      </c>
      <c r="J1" s="4" t="s">
        <v>34</v>
      </c>
      <c r="K1" s="4" t="s">
        <v>35</v>
      </c>
    </row>
    <row r="2" customFormat="false" ht="35.05" hidden="false" customHeight="false" outlineLevel="0" collapsed="false">
      <c r="A2" s="5" t="s">
        <v>36</v>
      </c>
      <c r="B2" s="6" t="s">
        <v>37</v>
      </c>
      <c r="C2" s="7" t="s">
        <v>38</v>
      </c>
      <c r="D2" s="7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8" t="s">
        <v>44</v>
      </c>
      <c r="J2" s="9" t="s">
        <v>45</v>
      </c>
      <c r="K2" s="7" t="s">
        <v>46</v>
      </c>
    </row>
    <row r="3" customFormat="false" ht="35.05" hidden="false" customHeight="false" outlineLevel="0" collapsed="false">
      <c r="A3" s="5" t="s">
        <v>47</v>
      </c>
      <c r="B3" s="6" t="s">
        <v>37</v>
      </c>
      <c r="C3" s="7" t="s">
        <v>48</v>
      </c>
      <c r="D3" s="7" t="s">
        <v>49</v>
      </c>
      <c r="E3" s="5" t="s">
        <v>40</v>
      </c>
      <c r="F3" s="5" t="s">
        <v>41</v>
      </c>
      <c r="G3" s="5" t="s">
        <v>42</v>
      </c>
      <c r="H3" s="5" t="s">
        <v>43</v>
      </c>
      <c r="I3" s="8" t="s">
        <v>44</v>
      </c>
      <c r="J3" s="9" t="s">
        <v>45</v>
      </c>
      <c r="K3" s="7" t="s">
        <v>50</v>
      </c>
    </row>
    <row r="4" customFormat="false" ht="35.05" hidden="false" customHeight="false" outlineLevel="0" collapsed="false">
      <c r="A4" s="5" t="s">
        <v>51</v>
      </c>
      <c r="B4" s="6" t="s">
        <v>37</v>
      </c>
      <c r="C4" s="7" t="s">
        <v>52</v>
      </c>
      <c r="D4" s="7" t="s">
        <v>53</v>
      </c>
      <c r="E4" s="5" t="s">
        <v>40</v>
      </c>
      <c r="F4" s="5" t="s">
        <v>41</v>
      </c>
      <c r="G4" s="5" t="s">
        <v>42</v>
      </c>
      <c r="H4" s="5" t="s">
        <v>43</v>
      </c>
      <c r="I4" s="8" t="s">
        <v>44</v>
      </c>
      <c r="J4" s="9" t="s">
        <v>45</v>
      </c>
      <c r="K4" s="7" t="s">
        <v>54</v>
      </c>
    </row>
    <row r="5" customFormat="false" ht="35.05" hidden="false" customHeight="false" outlineLevel="0" collapsed="false">
      <c r="A5" s="5" t="s">
        <v>55</v>
      </c>
      <c r="B5" s="6" t="s">
        <v>37</v>
      </c>
      <c r="C5" s="7" t="s">
        <v>56</v>
      </c>
      <c r="D5" s="7" t="s">
        <v>57</v>
      </c>
      <c r="E5" s="5" t="s">
        <v>40</v>
      </c>
      <c r="F5" s="5" t="s">
        <v>41</v>
      </c>
      <c r="G5" s="5" t="s">
        <v>42</v>
      </c>
      <c r="H5" s="5" t="s">
        <v>43</v>
      </c>
      <c r="I5" s="8" t="s">
        <v>44</v>
      </c>
      <c r="J5" s="9" t="s">
        <v>45</v>
      </c>
      <c r="K5" s="7"/>
    </row>
    <row r="6" customFormat="false" ht="35.05" hidden="false" customHeight="false" outlineLevel="0" collapsed="false">
      <c r="A6" s="5" t="s">
        <v>58</v>
      </c>
      <c r="B6" s="6" t="s">
        <v>37</v>
      </c>
      <c r="C6" s="7" t="s">
        <v>59</v>
      </c>
      <c r="D6" s="7" t="s">
        <v>60</v>
      </c>
      <c r="E6" s="5" t="s">
        <v>40</v>
      </c>
      <c r="F6" s="5" t="s">
        <v>41</v>
      </c>
      <c r="G6" s="5" t="s">
        <v>42</v>
      </c>
      <c r="H6" s="5" t="s">
        <v>61</v>
      </c>
      <c r="I6" s="8" t="s">
        <v>44</v>
      </c>
      <c r="J6" s="9" t="s">
        <v>45</v>
      </c>
      <c r="K6" s="7" t="s">
        <v>62</v>
      </c>
    </row>
    <row r="7" customFormat="false" ht="35.05" hidden="false" customHeight="false" outlineLevel="0" collapsed="false">
      <c r="A7" s="5" t="s">
        <v>63</v>
      </c>
      <c r="B7" s="6" t="s">
        <v>37</v>
      </c>
      <c r="C7" s="7" t="s">
        <v>64</v>
      </c>
      <c r="D7" s="7" t="s">
        <v>65</v>
      </c>
      <c r="E7" s="5" t="s">
        <v>40</v>
      </c>
      <c r="F7" s="5" t="s">
        <v>41</v>
      </c>
      <c r="G7" s="5" t="s">
        <v>42</v>
      </c>
      <c r="H7" s="5" t="s">
        <v>43</v>
      </c>
      <c r="I7" s="8" t="s">
        <v>44</v>
      </c>
      <c r="J7" s="9" t="s">
        <v>45</v>
      </c>
      <c r="K7" s="7"/>
    </row>
    <row r="8" customFormat="false" ht="35.05" hidden="false" customHeight="false" outlineLevel="0" collapsed="false">
      <c r="A8" s="5" t="s">
        <v>66</v>
      </c>
      <c r="B8" s="6" t="s">
        <v>37</v>
      </c>
      <c r="C8" s="7" t="s">
        <v>67</v>
      </c>
      <c r="D8" s="7" t="s">
        <v>68</v>
      </c>
      <c r="E8" s="5" t="s">
        <v>40</v>
      </c>
      <c r="F8" s="5" t="s">
        <v>41</v>
      </c>
      <c r="G8" s="5" t="s">
        <v>42</v>
      </c>
      <c r="H8" s="5" t="s">
        <v>43</v>
      </c>
      <c r="I8" s="8" t="s">
        <v>44</v>
      </c>
      <c r="J8" s="9" t="s">
        <v>45</v>
      </c>
      <c r="K8" s="7"/>
    </row>
    <row r="9" customFormat="false" ht="35.05" hidden="false" customHeight="false" outlineLevel="0" collapsed="false">
      <c r="A9" s="5" t="s">
        <v>69</v>
      </c>
      <c r="B9" s="6" t="s">
        <v>37</v>
      </c>
      <c r="C9" s="7" t="s">
        <v>70</v>
      </c>
      <c r="D9" s="7" t="s">
        <v>71</v>
      </c>
      <c r="E9" s="5" t="s">
        <v>40</v>
      </c>
      <c r="F9" s="5" t="s">
        <v>41</v>
      </c>
      <c r="G9" s="5" t="s">
        <v>42</v>
      </c>
      <c r="H9" s="5" t="s">
        <v>43</v>
      </c>
      <c r="I9" s="8" t="s">
        <v>44</v>
      </c>
      <c r="J9" s="9" t="s">
        <v>45</v>
      </c>
      <c r="K9" s="7"/>
    </row>
    <row r="10" customFormat="false" ht="35.05" hidden="false" customHeight="false" outlineLevel="0" collapsed="false">
      <c r="A10" s="5" t="s">
        <v>72</v>
      </c>
      <c r="B10" s="6" t="s">
        <v>37</v>
      </c>
      <c r="C10" s="7" t="s">
        <v>73</v>
      </c>
      <c r="D10" s="7" t="s">
        <v>74</v>
      </c>
      <c r="E10" s="5" t="s">
        <v>40</v>
      </c>
      <c r="F10" s="5" t="s">
        <v>41</v>
      </c>
      <c r="G10" s="5" t="s">
        <v>42</v>
      </c>
      <c r="H10" s="5" t="s">
        <v>43</v>
      </c>
      <c r="I10" s="8" t="s">
        <v>44</v>
      </c>
      <c r="J10" s="9" t="s">
        <v>45</v>
      </c>
      <c r="K10" s="7"/>
    </row>
    <row r="11" customFormat="false" ht="35.05" hidden="false" customHeight="false" outlineLevel="0" collapsed="false">
      <c r="A11" s="5" t="s">
        <v>75</v>
      </c>
      <c r="B11" s="6" t="s">
        <v>37</v>
      </c>
      <c r="C11" s="7" t="s">
        <v>76</v>
      </c>
      <c r="D11" s="7" t="s">
        <v>77</v>
      </c>
      <c r="E11" s="5" t="s">
        <v>78</v>
      </c>
      <c r="F11" s="5" t="s">
        <v>41</v>
      </c>
      <c r="G11" s="5" t="s">
        <v>42</v>
      </c>
      <c r="H11" s="5" t="s">
        <v>61</v>
      </c>
      <c r="I11" s="8" t="s">
        <v>44</v>
      </c>
      <c r="J11" s="9" t="s">
        <v>45</v>
      </c>
      <c r="K11" s="7" t="s">
        <v>79</v>
      </c>
    </row>
    <row r="12" customFormat="false" ht="35.05" hidden="false" customHeight="false" outlineLevel="0" collapsed="false">
      <c r="A12" s="5" t="s">
        <v>80</v>
      </c>
      <c r="B12" s="6" t="s">
        <v>37</v>
      </c>
      <c r="C12" s="7" t="s">
        <v>81</v>
      </c>
      <c r="D12" s="7" t="s">
        <v>82</v>
      </c>
      <c r="E12" s="5" t="s">
        <v>40</v>
      </c>
      <c r="F12" s="5" t="s">
        <v>41</v>
      </c>
      <c r="G12" s="5" t="s">
        <v>42</v>
      </c>
      <c r="H12" s="5" t="s">
        <v>43</v>
      </c>
      <c r="I12" s="8" t="s">
        <v>44</v>
      </c>
      <c r="J12" s="9" t="s">
        <v>45</v>
      </c>
      <c r="K12" s="7" t="s">
        <v>83</v>
      </c>
    </row>
    <row r="13" customFormat="false" ht="35.05" hidden="false" customHeight="false" outlineLevel="0" collapsed="false">
      <c r="A13" s="5" t="s">
        <v>84</v>
      </c>
      <c r="B13" s="6" t="s">
        <v>37</v>
      </c>
      <c r="C13" s="7" t="s">
        <v>85</v>
      </c>
      <c r="D13" s="7" t="s">
        <v>86</v>
      </c>
      <c r="E13" s="5" t="s">
        <v>40</v>
      </c>
      <c r="F13" s="5" t="s">
        <v>41</v>
      </c>
      <c r="G13" s="5" t="s">
        <v>42</v>
      </c>
      <c r="H13" s="5" t="s">
        <v>61</v>
      </c>
      <c r="I13" s="8" t="s">
        <v>44</v>
      </c>
      <c r="J13" s="9" t="s">
        <v>45</v>
      </c>
      <c r="K13" s="7"/>
    </row>
    <row r="14" customFormat="false" ht="35.05" hidden="false" customHeight="false" outlineLevel="0" collapsed="false">
      <c r="A14" s="5" t="s">
        <v>87</v>
      </c>
      <c r="B14" s="6" t="s">
        <v>37</v>
      </c>
      <c r="C14" s="7" t="s">
        <v>88</v>
      </c>
      <c r="D14" s="7" t="s">
        <v>89</v>
      </c>
      <c r="E14" s="5" t="s">
        <v>78</v>
      </c>
      <c r="F14" s="5" t="s">
        <v>41</v>
      </c>
      <c r="G14" s="5" t="s">
        <v>90</v>
      </c>
      <c r="H14" s="5" t="s">
        <v>61</v>
      </c>
      <c r="I14" s="8" t="s">
        <v>44</v>
      </c>
      <c r="J14" s="9" t="s">
        <v>45</v>
      </c>
      <c r="K14" s="7" t="s">
        <v>91</v>
      </c>
    </row>
    <row r="15" customFormat="false" ht="35.05" hidden="false" customHeight="false" outlineLevel="0" collapsed="false">
      <c r="A15" s="5" t="s">
        <v>92</v>
      </c>
      <c r="B15" s="6" t="s">
        <v>37</v>
      </c>
      <c r="C15" s="7" t="s">
        <v>93</v>
      </c>
      <c r="D15" s="7" t="s">
        <v>94</v>
      </c>
      <c r="E15" s="5" t="s">
        <v>95</v>
      </c>
      <c r="F15" s="5" t="s">
        <v>41</v>
      </c>
      <c r="G15" s="5" t="s">
        <v>42</v>
      </c>
      <c r="H15" s="5" t="s">
        <v>96</v>
      </c>
      <c r="I15" s="8" t="s">
        <v>44</v>
      </c>
      <c r="J15" s="9" t="s">
        <v>45</v>
      </c>
      <c r="K15" s="7" t="s">
        <v>97</v>
      </c>
    </row>
    <row r="16" customFormat="false" ht="23.85" hidden="false" customHeight="false" outlineLevel="0" collapsed="false">
      <c r="A16" s="5" t="s">
        <v>98</v>
      </c>
      <c r="B16" s="6" t="s">
        <v>37</v>
      </c>
      <c r="C16" s="7" t="s">
        <v>99</v>
      </c>
      <c r="D16" s="7" t="s">
        <v>100</v>
      </c>
      <c r="E16" s="5" t="s">
        <v>78</v>
      </c>
      <c r="F16" s="5" t="s">
        <v>41</v>
      </c>
      <c r="G16" s="5" t="s">
        <v>90</v>
      </c>
      <c r="H16" s="5" t="s">
        <v>96</v>
      </c>
      <c r="I16" s="8" t="s">
        <v>101</v>
      </c>
      <c r="J16" s="9" t="s">
        <v>102</v>
      </c>
      <c r="K16" s="7" t="s">
        <v>103</v>
      </c>
    </row>
    <row r="17" customFormat="false" ht="23.85" hidden="false" customHeight="false" outlineLevel="0" collapsed="false">
      <c r="A17" s="5" t="s">
        <v>104</v>
      </c>
      <c r="B17" s="6" t="s">
        <v>37</v>
      </c>
      <c r="C17" s="7" t="s">
        <v>105</v>
      </c>
      <c r="D17" s="7" t="s">
        <v>106</v>
      </c>
      <c r="E17" s="5" t="s">
        <v>40</v>
      </c>
      <c r="F17" s="5" t="s">
        <v>41</v>
      </c>
      <c r="G17" s="5" t="s">
        <v>107</v>
      </c>
      <c r="H17" s="5" t="s">
        <v>43</v>
      </c>
      <c r="I17" s="8" t="s">
        <v>108</v>
      </c>
      <c r="J17" s="9" t="s">
        <v>109</v>
      </c>
      <c r="K17" s="7" t="s">
        <v>110</v>
      </c>
    </row>
    <row r="18" customFormat="false" ht="23.85" hidden="false" customHeight="false" outlineLevel="0" collapsed="false">
      <c r="A18" s="5" t="s">
        <v>111</v>
      </c>
      <c r="B18" s="6" t="s">
        <v>37</v>
      </c>
      <c r="C18" s="7" t="s">
        <v>112</v>
      </c>
      <c r="D18" s="7" t="s">
        <v>113</v>
      </c>
      <c r="E18" s="5" t="s">
        <v>114</v>
      </c>
      <c r="F18" s="5" t="s">
        <v>115</v>
      </c>
      <c r="G18" s="5" t="s">
        <v>107</v>
      </c>
      <c r="H18" s="5" t="s">
        <v>43</v>
      </c>
      <c r="I18" s="8" t="s">
        <v>116</v>
      </c>
      <c r="J18" s="9" t="s">
        <v>117</v>
      </c>
      <c r="K18" s="7" t="s">
        <v>118</v>
      </c>
    </row>
    <row r="19" customFormat="false" ht="57.45" hidden="false" customHeight="false" outlineLevel="0" collapsed="false">
      <c r="A19" s="5" t="s">
        <v>119</v>
      </c>
      <c r="B19" s="6" t="s">
        <v>120</v>
      </c>
      <c r="C19" s="7" t="s">
        <v>121</v>
      </c>
      <c r="D19" s="7" t="s">
        <v>122</v>
      </c>
      <c r="E19" s="5" t="s">
        <v>78</v>
      </c>
      <c r="F19" s="5" t="s">
        <v>123</v>
      </c>
      <c r="G19" s="5" t="s">
        <v>42</v>
      </c>
      <c r="H19" s="5" t="s">
        <v>43</v>
      </c>
      <c r="I19" s="8" t="s">
        <v>124</v>
      </c>
      <c r="J19" s="9" t="s">
        <v>125</v>
      </c>
      <c r="K19" s="7" t="s">
        <v>126</v>
      </c>
    </row>
    <row r="20" customFormat="false" ht="35.05" hidden="false" customHeight="false" outlineLevel="0" collapsed="false">
      <c r="A20" s="5" t="s">
        <v>127</v>
      </c>
      <c r="B20" s="6" t="s">
        <v>120</v>
      </c>
      <c r="C20" s="7" t="s">
        <v>128</v>
      </c>
      <c r="D20" s="7" t="s">
        <v>129</v>
      </c>
      <c r="E20" s="5" t="s">
        <v>78</v>
      </c>
      <c r="F20" s="5" t="s">
        <v>123</v>
      </c>
      <c r="G20" s="5" t="s">
        <v>42</v>
      </c>
      <c r="H20" s="5" t="s">
        <v>43</v>
      </c>
      <c r="I20" s="8" t="s">
        <v>124</v>
      </c>
      <c r="J20" s="9" t="s">
        <v>125</v>
      </c>
      <c r="K20" s="7" t="s">
        <v>130</v>
      </c>
    </row>
    <row r="21" customFormat="false" ht="35.05" hidden="false" customHeight="false" outlineLevel="0" collapsed="false">
      <c r="A21" s="5" t="s">
        <v>131</v>
      </c>
      <c r="B21" s="6" t="s">
        <v>120</v>
      </c>
      <c r="C21" s="7" t="s">
        <v>132</v>
      </c>
      <c r="D21" s="7" t="s">
        <v>133</v>
      </c>
      <c r="E21" s="5" t="s">
        <v>134</v>
      </c>
      <c r="F21" s="5" t="s">
        <v>123</v>
      </c>
      <c r="G21" s="5" t="s">
        <v>42</v>
      </c>
      <c r="H21" s="5" t="s">
        <v>43</v>
      </c>
      <c r="I21" s="8" t="s">
        <v>124</v>
      </c>
      <c r="J21" s="9" t="s">
        <v>125</v>
      </c>
      <c r="K21" s="7" t="s">
        <v>135</v>
      </c>
    </row>
    <row r="22" customFormat="false" ht="23.85" hidden="false" customHeight="false" outlineLevel="0" collapsed="false">
      <c r="A22" s="5" t="s">
        <v>136</v>
      </c>
      <c r="B22" s="6" t="s">
        <v>120</v>
      </c>
      <c r="C22" s="7" t="s">
        <v>137</v>
      </c>
      <c r="D22" s="7" t="s">
        <v>138</v>
      </c>
      <c r="E22" s="5" t="s">
        <v>78</v>
      </c>
      <c r="F22" s="5" t="s">
        <v>123</v>
      </c>
      <c r="G22" s="5" t="s">
        <v>42</v>
      </c>
      <c r="H22" s="5" t="s">
        <v>43</v>
      </c>
      <c r="I22" s="8" t="s">
        <v>139</v>
      </c>
      <c r="J22" s="9" t="s">
        <v>140</v>
      </c>
      <c r="K22" s="7"/>
    </row>
    <row r="23" customFormat="false" ht="35.05" hidden="false" customHeight="false" outlineLevel="0" collapsed="false">
      <c r="A23" s="5" t="s">
        <v>141</v>
      </c>
      <c r="B23" s="6" t="s">
        <v>120</v>
      </c>
      <c r="C23" s="7" t="s">
        <v>142</v>
      </c>
      <c r="D23" s="7" t="s">
        <v>143</v>
      </c>
      <c r="E23" s="5" t="s">
        <v>40</v>
      </c>
      <c r="F23" s="5" t="s">
        <v>123</v>
      </c>
      <c r="G23" s="5" t="s">
        <v>42</v>
      </c>
      <c r="H23" s="5" t="s">
        <v>43</v>
      </c>
      <c r="I23" s="8" t="s">
        <v>124</v>
      </c>
      <c r="J23" s="9" t="s">
        <v>125</v>
      </c>
      <c r="K23" s="7"/>
    </row>
    <row r="24" customFormat="false" ht="35.05" hidden="false" customHeight="false" outlineLevel="0" collapsed="false">
      <c r="A24" s="5" t="s">
        <v>144</v>
      </c>
      <c r="B24" s="6" t="s">
        <v>120</v>
      </c>
      <c r="C24" s="7" t="s">
        <v>145</v>
      </c>
      <c r="D24" s="7" t="s">
        <v>146</v>
      </c>
      <c r="E24" s="5" t="s">
        <v>147</v>
      </c>
      <c r="F24" s="5" t="s">
        <v>123</v>
      </c>
      <c r="G24" s="5" t="s">
        <v>42</v>
      </c>
      <c r="H24" s="5" t="s">
        <v>43</v>
      </c>
      <c r="I24" s="8" t="s">
        <v>124</v>
      </c>
      <c r="J24" s="9" t="s">
        <v>125</v>
      </c>
      <c r="K24" s="7" t="s">
        <v>148</v>
      </c>
    </row>
    <row r="25" customFormat="false" ht="35.05" hidden="false" customHeight="false" outlineLevel="0" collapsed="false">
      <c r="A25" s="5" t="s">
        <v>149</v>
      </c>
      <c r="B25" s="6" t="s">
        <v>120</v>
      </c>
      <c r="C25" s="7" t="s">
        <v>150</v>
      </c>
      <c r="D25" s="7" t="s">
        <v>151</v>
      </c>
      <c r="E25" s="5" t="s">
        <v>147</v>
      </c>
      <c r="F25" s="5" t="s">
        <v>123</v>
      </c>
      <c r="G25" s="5" t="s">
        <v>107</v>
      </c>
      <c r="H25" s="5" t="s">
        <v>61</v>
      </c>
      <c r="I25" s="8" t="s">
        <v>124</v>
      </c>
      <c r="J25" s="9" t="s">
        <v>125</v>
      </c>
      <c r="K25" s="7"/>
    </row>
    <row r="26" customFormat="false" ht="23.85" hidden="false" customHeight="false" outlineLevel="0" collapsed="false">
      <c r="A26" s="5" t="s">
        <v>152</v>
      </c>
      <c r="B26" s="6" t="s">
        <v>120</v>
      </c>
      <c r="C26" s="7" t="s">
        <v>153</v>
      </c>
      <c r="D26" s="7" t="s">
        <v>154</v>
      </c>
      <c r="E26" s="5" t="s">
        <v>40</v>
      </c>
      <c r="F26" s="5" t="s">
        <v>123</v>
      </c>
      <c r="G26" s="5" t="s">
        <v>42</v>
      </c>
      <c r="H26" s="5" t="s">
        <v>43</v>
      </c>
      <c r="I26" s="8" t="s">
        <v>155</v>
      </c>
      <c r="J26" s="9" t="s">
        <v>156</v>
      </c>
      <c r="K26" s="7" t="s">
        <v>157</v>
      </c>
    </row>
    <row r="27" customFormat="false" ht="35.05" hidden="false" customHeight="false" outlineLevel="0" collapsed="false">
      <c r="A27" s="5" t="s">
        <v>158</v>
      </c>
      <c r="B27" s="6" t="s">
        <v>120</v>
      </c>
      <c r="C27" s="7" t="s">
        <v>159</v>
      </c>
      <c r="D27" s="7" t="s">
        <v>160</v>
      </c>
      <c r="E27" s="5" t="s">
        <v>147</v>
      </c>
      <c r="F27" s="5" t="s">
        <v>123</v>
      </c>
      <c r="G27" s="5" t="s">
        <v>42</v>
      </c>
      <c r="H27" s="5" t="s">
        <v>96</v>
      </c>
      <c r="I27" s="8" t="s">
        <v>124</v>
      </c>
      <c r="J27" s="9" t="s">
        <v>125</v>
      </c>
      <c r="K27" s="7"/>
    </row>
    <row r="28" customFormat="false" ht="35.05" hidden="false" customHeight="false" outlineLevel="0" collapsed="false">
      <c r="A28" s="5" t="s">
        <v>161</v>
      </c>
      <c r="B28" s="6" t="s">
        <v>162</v>
      </c>
      <c r="C28" s="7" t="s">
        <v>163</v>
      </c>
      <c r="D28" s="7" t="s">
        <v>164</v>
      </c>
      <c r="E28" s="5" t="s">
        <v>162</v>
      </c>
      <c r="F28" s="5" t="s">
        <v>123</v>
      </c>
      <c r="G28" s="5" t="s">
        <v>42</v>
      </c>
      <c r="H28" s="5" t="s">
        <v>43</v>
      </c>
      <c r="I28" s="8" t="s">
        <v>165</v>
      </c>
      <c r="J28" s="9" t="s">
        <v>166</v>
      </c>
      <c r="K28" s="7"/>
    </row>
    <row r="29" customFormat="false" ht="35.05" hidden="false" customHeight="false" outlineLevel="0" collapsed="false">
      <c r="A29" s="5" t="s">
        <v>167</v>
      </c>
      <c r="B29" s="6" t="s">
        <v>162</v>
      </c>
      <c r="C29" s="7" t="s">
        <v>168</v>
      </c>
      <c r="D29" s="7" t="s">
        <v>169</v>
      </c>
      <c r="E29" s="5" t="s">
        <v>162</v>
      </c>
      <c r="F29" s="5" t="s">
        <v>123</v>
      </c>
      <c r="G29" s="5" t="s">
        <v>42</v>
      </c>
      <c r="H29" s="5" t="s">
        <v>61</v>
      </c>
      <c r="I29" s="8" t="s">
        <v>165</v>
      </c>
      <c r="J29" s="9" t="s">
        <v>166</v>
      </c>
      <c r="K29" s="7"/>
    </row>
    <row r="30" customFormat="false" ht="35.05" hidden="false" customHeight="false" outlineLevel="0" collapsed="false">
      <c r="A30" s="5" t="s">
        <v>170</v>
      </c>
      <c r="B30" s="6" t="s">
        <v>162</v>
      </c>
      <c r="C30" s="7" t="s">
        <v>171</v>
      </c>
      <c r="D30" s="7" t="s">
        <v>172</v>
      </c>
      <c r="E30" s="5" t="s">
        <v>162</v>
      </c>
      <c r="F30" s="5" t="s">
        <v>123</v>
      </c>
      <c r="G30" s="5" t="s">
        <v>42</v>
      </c>
      <c r="H30" s="5" t="s">
        <v>61</v>
      </c>
      <c r="I30" s="8" t="s">
        <v>165</v>
      </c>
      <c r="J30" s="9" t="s">
        <v>166</v>
      </c>
      <c r="K30" s="7"/>
    </row>
    <row r="31" customFormat="false" ht="35.05" hidden="false" customHeight="false" outlineLevel="0" collapsed="false">
      <c r="A31" s="5" t="s">
        <v>173</v>
      </c>
      <c r="B31" s="6" t="s">
        <v>162</v>
      </c>
      <c r="C31" s="7" t="s">
        <v>174</v>
      </c>
      <c r="D31" s="7" t="s">
        <v>175</v>
      </c>
      <c r="E31" s="5" t="s">
        <v>162</v>
      </c>
      <c r="F31" s="5" t="s">
        <v>123</v>
      </c>
      <c r="G31" s="5" t="s">
        <v>42</v>
      </c>
      <c r="H31" s="5" t="s">
        <v>43</v>
      </c>
      <c r="I31" s="8" t="s">
        <v>165</v>
      </c>
      <c r="J31" s="9" t="s">
        <v>166</v>
      </c>
      <c r="K31" s="7"/>
    </row>
    <row r="32" customFormat="false" ht="23.85" hidden="false" customHeight="false" outlineLevel="0" collapsed="false">
      <c r="A32" s="5" t="s">
        <v>176</v>
      </c>
      <c r="B32" s="6" t="s">
        <v>162</v>
      </c>
      <c r="C32" s="7" t="s">
        <v>177</v>
      </c>
      <c r="D32" s="7" t="s">
        <v>178</v>
      </c>
      <c r="E32" s="5" t="s">
        <v>162</v>
      </c>
      <c r="F32" s="5" t="s">
        <v>123</v>
      </c>
      <c r="G32" s="5" t="s">
        <v>42</v>
      </c>
      <c r="H32" s="5" t="s">
        <v>43</v>
      </c>
      <c r="I32" s="8" t="s">
        <v>179</v>
      </c>
      <c r="J32" s="9" t="s">
        <v>180</v>
      </c>
      <c r="K32" s="7" t="s">
        <v>181</v>
      </c>
    </row>
    <row r="33" customFormat="false" ht="35.05" hidden="false" customHeight="false" outlineLevel="0" collapsed="false">
      <c r="A33" s="5" t="s">
        <v>182</v>
      </c>
      <c r="B33" s="6" t="s">
        <v>162</v>
      </c>
      <c r="C33" s="7" t="s">
        <v>183</v>
      </c>
      <c r="D33" s="7" t="s">
        <v>184</v>
      </c>
      <c r="E33" s="5" t="s">
        <v>162</v>
      </c>
      <c r="F33" s="5" t="s">
        <v>123</v>
      </c>
      <c r="G33" s="5" t="s">
        <v>42</v>
      </c>
      <c r="H33" s="5" t="s">
        <v>43</v>
      </c>
      <c r="I33" s="8" t="s">
        <v>185</v>
      </c>
      <c r="J33" s="9" t="s">
        <v>186</v>
      </c>
      <c r="K33" s="7" t="s">
        <v>187</v>
      </c>
    </row>
    <row r="34" customFormat="false" ht="35.05" hidden="false" customHeight="false" outlineLevel="0" collapsed="false">
      <c r="A34" s="5" t="s">
        <v>188</v>
      </c>
      <c r="B34" s="6" t="s">
        <v>162</v>
      </c>
      <c r="C34" s="7" t="s">
        <v>189</v>
      </c>
      <c r="D34" s="7" t="s">
        <v>190</v>
      </c>
      <c r="E34" s="5" t="s">
        <v>162</v>
      </c>
      <c r="F34" s="5" t="s">
        <v>123</v>
      </c>
      <c r="G34" s="5" t="s">
        <v>42</v>
      </c>
      <c r="H34" s="5" t="s">
        <v>43</v>
      </c>
      <c r="I34" s="8" t="s">
        <v>165</v>
      </c>
      <c r="J34" s="9" t="s">
        <v>166</v>
      </c>
      <c r="K34" s="7"/>
    </row>
    <row r="35" customFormat="false" ht="35.05" hidden="false" customHeight="false" outlineLevel="0" collapsed="false">
      <c r="A35" s="5" t="s">
        <v>191</v>
      </c>
      <c r="B35" s="6" t="s">
        <v>162</v>
      </c>
      <c r="C35" s="7" t="s">
        <v>192</v>
      </c>
      <c r="D35" s="7" t="s">
        <v>193</v>
      </c>
      <c r="E35" s="5" t="s">
        <v>162</v>
      </c>
      <c r="F35" s="5" t="s">
        <v>123</v>
      </c>
      <c r="G35" s="5" t="s">
        <v>42</v>
      </c>
      <c r="H35" s="5" t="s">
        <v>43</v>
      </c>
      <c r="I35" s="8" t="s">
        <v>165</v>
      </c>
      <c r="J35" s="9" t="s">
        <v>166</v>
      </c>
      <c r="K35" s="7"/>
    </row>
    <row r="36" customFormat="false" ht="35.05" hidden="false" customHeight="false" outlineLevel="0" collapsed="false">
      <c r="A36" s="5" t="s">
        <v>194</v>
      </c>
      <c r="B36" s="6" t="s">
        <v>162</v>
      </c>
      <c r="C36" s="7" t="s">
        <v>195</v>
      </c>
      <c r="D36" s="7" t="s">
        <v>196</v>
      </c>
      <c r="E36" s="5" t="s">
        <v>162</v>
      </c>
      <c r="F36" s="5" t="s">
        <v>123</v>
      </c>
      <c r="G36" s="5" t="s">
        <v>42</v>
      </c>
      <c r="H36" s="5" t="s">
        <v>43</v>
      </c>
      <c r="I36" s="8" t="s">
        <v>165</v>
      </c>
      <c r="J36" s="9" t="s">
        <v>166</v>
      </c>
      <c r="K36" s="7" t="s">
        <v>197</v>
      </c>
    </row>
    <row r="37" customFormat="false" ht="35.05" hidden="false" customHeight="false" outlineLevel="0" collapsed="false">
      <c r="A37" s="5" t="s">
        <v>198</v>
      </c>
      <c r="B37" s="6" t="s">
        <v>162</v>
      </c>
      <c r="C37" s="7" t="s">
        <v>199</v>
      </c>
      <c r="D37" s="7" t="s">
        <v>200</v>
      </c>
      <c r="E37" s="5" t="s">
        <v>162</v>
      </c>
      <c r="F37" s="5" t="s">
        <v>123</v>
      </c>
      <c r="G37" s="5" t="s">
        <v>42</v>
      </c>
      <c r="H37" s="5" t="s">
        <v>43</v>
      </c>
      <c r="I37" s="8" t="s">
        <v>165</v>
      </c>
      <c r="J37" s="9" t="s">
        <v>166</v>
      </c>
      <c r="K37" s="7" t="s">
        <v>201</v>
      </c>
    </row>
    <row r="38" customFormat="false" ht="46.25" hidden="false" customHeight="false" outlineLevel="0" collapsed="false">
      <c r="A38" s="5" t="s">
        <v>202</v>
      </c>
      <c r="B38" s="6" t="s">
        <v>162</v>
      </c>
      <c r="C38" s="7" t="s">
        <v>203</v>
      </c>
      <c r="D38" s="7" t="s">
        <v>204</v>
      </c>
      <c r="E38" s="5" t="s">
        <v>162</v>
      </c>
      <c r="F38" s="5" t="s">
        <v>123</v>
      </c>
      <c r="G38" s="5" t="s">
        <v>42</v>
      </c>
      <c r="H38" s="5" t="s">
        <v>43</v>
      </c>
      <c r="I38" s="8" t="s">
        <v>205</v>
      </c>
      <c r="J38" s="9" t="s">
        <v>206</v>
      </c>
      <c r="K38" s="7" t="s">
        <v>207</v>
      </c>
    </row>
    <row r="39" customFormat="false" ht="35.05" hidden="false" customHeight="false" outlineLevel="0" collapsed="false">
      <c r="A39" s="5" t="s">
        <v>208</v>
      </c>
      <c r="B39" s="6" t="s">
        <v>162</v>
      </c>
      <c r="C39" s="7" t="s">
        <v>209</v>
      </c>
      <c r="D39" s="7" t="s">
        <v>210</v>
      </c>
      <c r="E39" s="5" t="s">
        <v>162</v>
      </c>
      <c r="F39" s="5" t="s">
        <v>123</v>
      </c>
      <c r="G39" s="5" t="s">
        <v>42</v>
      </c>
      <c r="H39" s="5" t="s">
        <v>43</v>
      </c>
      <c r="I39" s="8" t="s">
        <v>165</v>
      </c>
      <c r="J39" s="9" t="s">
        <v>166</v>
      </c>
      <c r="K39" s="7"/>
    </row>
    <row r="40" customFormat="false" ht="23.85" hidden="false" customHeight="false" outlineLevel="0" collapsed="false">
      <c r="A40" s="5" t="s">
        <v>211</v>
      </c>
      <c r="B40" s="6" t="s">
        <v>212</v>
      </c>
      <c r="C40" s="7" t="s">
        <v>213</v>
      </c>
      <c r="D40" s="7" t="s">
        <v>214</v>
      </c>
      <c r="E40" s="5" t="s">
        <v>162</v>
      </c>
      <c r="F40" s="5" t="s">
        <v>123</v>
      </c>
      <c r="G40" s="5" t="s">
        <v>42</v>
      </c>
      <c r="H40" s="5" t="s">
        <v>43</v>
      </c>
      <c r="I40" s="8" t="s">
        <v>215</v>
      </c>
      <c r="J40" s="9" t="s">
        <v>216</v>
      </c>
      <c r="K40" s="7" t="s">
        <v>217</v>
      </c>
    </row>
    <row r="41" customFormat="false" ht="35.05" hidden="false" customHeight="false" outlineLevel="0" collapsed="false">
      <c r="A41" s="5" t="s">
        <v>218</v>
      </c>
      <c r="B41" s="6" t="s">
        <v>212</v>
      </c>
      <c r="C41" s="7" t="s">
        <v>219</v>
      </c>
      <c r="D41" s="7" t="s">
        <v>220</v>
      </c>
      <c r="E41" s="5" t="s">
        <v>134</v>
      </c>
      <c r="F41" s="5" t="s">
        <v>123</v>
      </c>
      <c r="G41" s="5" t="s">
        <v>42</v>
      </c>
      <c r="H41" s="5" t="s">
        <v>43</v>
      </c>
      <c r="I41" s="8" t="s">
        <v>215</v>
      </c>
      <c r="J41" s="9" t="s">
        <v>216</v>
      </c>
      <c r="K41" s="7"/>
    </row>
    <row r="42" customFormat="false" ht="23.85" hidden="false" customHeight="false" outlineLevel="0" collapsed="false">
      <c r="A42" s="5" t="s">
        <v>221</v>
      </c>
      <c r="B42" s="6" t="s">
        <v>212</v>
      </c>
      <c r="C42" s="7" t="s">
        <v>222</v>
      </c>
      <c r="D42" s="7" t="s">
        <v>223</v>
      </c>
      <c r="E42" s="5" t="s">
        <v>134</v>
      </c>
      <c r="F42" s="5" t="s">
        <v>123</v>
      </c>
      <c r="G42" s="5" t="s">
        <v>42</v>
      </c>
      <c r="H42" s="5" t="s">
        <v>43</v>
      </c>
      <c r="I42" s="8" t="s">
        <v>215</v>
      </c>
      <c r="J42" s="9" t="s">
        <v>216</v>
      </c>
      <c r="K42" s="7"/>
    </row>
    <row r="43" customFormat="false" ht="23.85" hidden="false" customHeight="false" outlineLevel="0" collapsed="false">
      <c r="A43" s="5" t="s">
        <v>224</v>
      </c>
      <c r="B43" s="6" t="s">
        <v>212</v>
      </c>
      <c r="C43" s="7" t="s">
        <v>225</v>
      </c>
      <c r="D43" s="7" t="s">
        <v>226</v>
      </c>
      <c r="E43" s="5" t="s">
        <v>162</v>
      </c>
      <c r="F43" s="5" t="s">
        <v>123</v>
      </c>
      <c r="G43" s="5" t="s">
        <v>42</v>
      </c>
      <c r="H43" s="5" t="s">
        <v>43</v>
      </c>
      <c r="I43" s="8" t="s">
        <v>215</v>
      </c>
      <c r="J43" s="9" t="s">
        <v>216</v>
      </c>
      <c r="K43" s="7"/>
    </row>
    <row r="44" customFormat="false" ht="23.85" hidden="false" customHeight="false" outlineLevel="0" collapsed="false">
      <c r="A44" s="5" t="s">
        <v>227</v>
      </c>
      <c r="B44" s="6" t="s">
        <v>212</v>
      </c>
      <c r="C44" s="7" t="s">
        <v>228</v>
      </c>
      <c r="D44" s="7" t="s">
        <v>229</v>
      </c>
      <c r="E44" s="5" t="s">
        <v>95</v>
      </c>
      <c r="F44" s="5" t="s">
        <v>123</v>
      </c>
      <c r="G44" s="5" t="s">
        <v>42</v>
      </c>
      <c r="H44" s="5" t="s">
        <v>43</v>
      </c>
      <c r="I44" s="8" t="s">
        <v>215</v>
      </c>
      <c r="J44" s="9" t="s">
        <v>216</v>
      </c>
      <c r="K44" s="7"/>
    </row>
    <row r="45" customFormat="false" ht="23.85" hidden="false" customHeight="false" outlineLevel="0" collapsed="false">
      <c r="A45" s="5" t="s">
        <v>230</v>
      </c>
      <c r="B45" s="6" t="s">
        <v>212</v>
      </c>
      <c r="C45" s="7" t="s">
        <v>231</v>
      </c>
      <c r="D45" s="7" t="s">
        <v>232</v>
      </c>
      <c r="E45" s="5" t="s">
        <v>78</v>
      </c>
      <c r="F45" s="5" t="s">
        <v>123</v>
      </c>
      <c r="G45" s="5" t="s">
        <v>42</v>
      </c>
      <c r="H45" s="5" t="s">
        <v>43</v>
      </c>
      <c r="I45" s="8" t="s">
        <v>215</v>
      </c>
      <c r="J45" s="9" t="s">
        <v>216</v>
      </c>
      <c r="K45" s="7"/>
    </row>
    <row r="46" customFormat="false" ht="35.05" hidden="false" customHeight="false" outlineLevel="0" collapsed="false">
      <c r="A46" s="5" t="s">
        <v>233</v>
      </c>
      <c r="B46" s="6" t="s">
        <v>95</v>
      </c>
      <c r="C46" s="7" t="s">
        <v>234</v>
      </c>
      <c r="D46" s="7" t="s">
        <v>235</v>
      </c>
      <c r="E46" s="5" t="s">
        <v>95</v>
      </c>
      <c r="F46" s="5" t="s">
        <v>123</v>
      </c>
      <c r="G46" s="5" t="s">
        <v>42</v>
      </c>
      <c r="H46" s="5" t="s">
        <v>43</v>
      </c>
      <c r="I46" s="8" t="s">
        <v>236</v>
      </c>
      <c r="J46" s="9" t="s">
        <v>237</v>
      </c>
      <c r="K46" s="7" t="s">
        <v>238</v>
      </c>
    </row>
    <row r="47" customFormat="false" ht="35.05" hidden="false" customHeight="false" outlineLevel="0" collapsed="false">
      <c r="A47" s="5" t="s">
        <v>239</v>
      </c>
      <c r="B47" s="6" t="s">
        <v>95</v>
      </c>
      <c r="C47" s="7" t="s">
        <v>240</v>
      </c>
      <c r="D47" s="7" t="s">
        <v>241</v>
      </c>
      <c r="E47" s="5" t="s">
        <v>95</v>
      </c>
      <c r="F47" s="5" t="s">
        <v>123</v>
      </c>
      <c r="G47" s="5" t="s">
        <v>42</v>
      </c>
      <c r="H47" s="5" t="s">
        <v>43</v>
      </c>
      <c r="I47" s="8" t="s">
        <v>236</v>
      </c>
      <c r="J47" s="9" t="s">
        <v>237</v>
      </c>
      <c r="K47" s="7"/>
    </row>
    <row r="48" customFormat="false" ht="35.05" hidden="false" customHeight="false" outlineLevel="0" collapsed="false">
      <c r="A48" s="5" t="s">
        <v>242</v>
      </c>
      <c r="B48" s="6" t="s">
        <v>95</v>
      </c>
      <c r="C48" s="7" t="s">
        <v>243</v>
      </c>
      <c r="D48" s="7" t="s">
        <v>244</v>
      </c>
      <c r="E48" s="5" t="s">
        <v>95</v>
      </c>
      <c r="F48" s="5" t="s">
        <v>123</v>
      </c>
      <c r="G48" s="5" t="s">
        <v>42</v>
      </c>
      <c r="H48" s="5" t="s">
        <v>43</v>
      </c>
      <c r="I48" s="8" t="s">
        <v>236</v>
      </c>
      <c r="J48" s="9" t="s">
        <v>237</v>
      </c>
      <c r="K48" s="7"/>
    </row>
    <row r="49" customFormat="false" ht="35.05" hidden="false" customHeight="false" outlineLevel="0" collapsed="false">
      <c r="A49" s="5" t="s">
        <v>245</v>
      </c>
      <c r="B49" s="6" t="s">
        <v>95</v>
      </c>
      <c r="C49" s="7" t="s">
        <v>246</v>
      </c>
      <c r="D49" s="7" t="s">
        <v>247</v>
      </c>
      <c r="E49" s="5" t="s">
        <v>95</v>
      </c>
      <c r="F49" s="5" t="s">
        <v>123</v>
      </c>
      <c r="G49" s="5" t="s">
        <v>42</v>
      </c>
      <c r="H49" s="5" t="s">
        <v>43</v>
      </c>
      <c r="I49" s="8" t="s">
        <v>236</v>
      </c>
      <c r="J49" s="9" t="s">
        <v>237</v>
      </c>
      <c r="K49" s="7"/>
    </row>
    <row r="50" customFormat="false" ht="35.05" hidden="false" customHeight="false" outlineLevel="0" collapsed="false">
      <c r="A50" s="5" t="s">
        <v>248</v>
      </c>
      <c r="B50" s="6" t="s">
        <v>95</v>
      </c>
      <c r="C50" s="7" t="s">
        <v>249</v>
      </c>
      <c r="D50" s="7" t="s">
        <v>250</v>
      </c>
      <c r="E50" s="5" t="s">
        <v>95</v>
      </c>
      <c r="F50" s="5" t="s">
        <v>123</v>
      </c>
      <c r="G50" s="5" t="s">
        <v>42</v>
      </c>
      <c r="H50" s="5" t="s">
        <v>43</v>
      </c>
      <c r="I50" s="8" t="s">
        <v>236</v>
      </c>
      <c r="J50" s="9" t="s">
        <v>237</v>
      </c>
      <c r="K50" s="7"/>
    </row>
    <row r="51" customFormat="false" ht="46.25" hidden="false" customHeight="false" outlineLevel="0" collapsed="false">
      <c r="A51" s="5" t="s">
        <v>251</v>
      </c>
      <c r="B51" s="6" t="s">
        <v>95</v>
      </c>
      <c r="C51" s="7" t="s">
        <v>252</v>
      </c>
      <c r="D51" s="7" t="s">
        <v>253</v>
      </c>
      <c r="E51" s="5" t="s">
        <v>95</v>
      </c>
      <c r="F51" s="5" t="s">
        <v>123</v>
      </c>
      <c r="G51" s="5" t="s">
        <v>42</v>
      </c>
      <c r="H51" s="5" t="s">
        <v>43</v>
      </c>
      <c r="I51" s="8" t="s">
        <v>236</v>
      </c>
      <c r="J51" s="9" t="s">
        <v>237</v>
      </c>
      <c r="K51" s="7" t="s">
        <v>254</v>
      </c>
    </row>
    <row r="52" customFormat="false" ht="35.05" hidden="false" customHeight="false" outlineLevel="0" collapsed="false">
      <c r="A52" s="5" t="s">
        <v>255</v>
      </c>
      <c r="B52" s="6" t="s">
        <v>95</v>
      </c>
      <c r="C52" s="7" t="s">
        <v>256</v>
      </c>
      <c r="D52" s="7" t="s">
        <v>257</v>
      </c>
      <c r="E52" s="5" t="s">
        <v>95</v>
      </c>
      <c r="F52" s="5" t="s">
        <v>123</v>
      </c>
      <c r="G52" s="5" t="s">
        <v>42</v>
      </c>
      <c r="H52" s="5" t="s">
        <v>43</v>
      </c>
      <c r="I52" s="8" t="s">
        <v>236</v>
      </c>
      <c r="J52" s="9" t="s">
        <v>237</v>
      </c>
      <c r="K52" s="7" t="s">
        <v>258</v>
      </c>
    </row>
    <row r="53" customFormat="false" ht="35.05" hidden="false" customHeight="false" outlineLevel="0" collapsed="false">
      <c r="A53" s="5" t="s">
        <v>259</v>
      </c>
      <c r="B53" s="6" t="s">
        <v>95</v>
      </c>
      <c r="C53" s="7" t="s">
        <v>260</v>
      </c>
      <c r="D53" s="7" t="s">
        <v>261</v>
      </c>
      <c r="E53" s="5" t="s">
        <v>95</v>
      </c>
      <c r="F53" s="5" t="s">
        <v>123</v>
      </c>
      <c r="G53" s="5" t="s">
        <v>42</v>
      </c>
      <c r="H53" s="5" t="s">
        <v>43</v>
      </c>
      <c r="I53" s="8" t="s">
        <v>236</v>
      </c>
      <c r="J53" s="9" t="s">
        <v>237</v>
      </c>
      <c r="K53" s="7" t="s">
        <v>262</v>
      </c>
    </row>
    <row r="54" customFormat="false" ht="46.25" hidden="false" customHeight="false" outlineLevel="0" collapsed="false">
      <c r="A54" s="5" t="s">
        <v>263</v>
      </c>
      <c r="B54" s="6" t="s">
        <v>95</v>
      </c>
      <c r="C54" s="7" t="s">
        <v>264</v>
      </c>
      <c r="D54" s="7" t="s">
        <v>265</v>
      </c>
      <c r="E54" s="5" t="s">
        <v>95</v>
      </c>
      <c r="F54" s="5" t="s">
        <v>123</v>
      </c>
      <c r="G54" s="5" t="s">
        <v>42</v>
      </c>
      <c r="H54" s="5" t="s">
        <v>43</v>
      </c>
      <c r="I54" s="8" t="s">
        <v>236</v>
      </c>
      <c r="J54" s="9" t="s">
        <v>237</v>
      </c>
      <c r="K54" s="7" t="s">
        <v>266</v>
      </c>
    </row>
    <row r="55" customFormat="false" ht="35.05" hidden="false" customHeight="false" outlineLevel="0" collapsed="false">
      <c r="A55" s="5" t="s">
        <v>267</v>
      </c>
      <c r="B55" s="6" t="s">
        <v>95</v>
      </c>
      <c r="C55" s="7" t="s">
        <v>268</v>
      </c>
      <c r="D55" s="7" t="s">
        <v>269</v>
      </c>
      <c r="E55" s="5" t="s">
        <v>95</v>
      </c>
      <c r="F55" s="5" t="s">
        <v>123</v>
      </c>
      <c r="G55" s="5" t="s">
        <v>42</v>
      </c>
      <c r="H55" s="5" t="s">
        <v>43</v>
      </c>
      <c r="I55" s="8" t="s">
        <v>236</v>
      </c>
      <c r="J55" s="9" t="s">
        <v>237</v>
      </c>
      <c r="K55" s="7" t="s">
        <v>270</v>
      </c>
    </row>
    <row r="56" customFormat="false" ht="35.05" hidden="false" customHeight="false" outlineLevel="0" collapsed="false">
      <c r="A56" s="5" t="s">
        <v>271</v>
      </c>
      <c r="B56" s="6" t="s">
        <v>95</v>
      </c>
      <c r="C56" s="7" t="s">
        <v>272</v>
      </c>
      <c r="D56" s="7" t="s">
        <v>273</v>
      </c>
      <c r="E56" s="5" t="s">
        <v>95</v>
      </c>
      <c r="F56" s="5" t="s">
        <v>123</v>
      </c>
      <c r="G56" s="5" t="s">
        <v>42</v>
      </c>
      <c r="H56" s="5" t="s">
        <v>43</v>
      </c>
      <c r="I56" s="8" t="s">
        <v>236</v>
      </c>
      <c r="J56" s="9" t="s">
        <v>237</v>
      </c>
      <c r="K56" s="7" t="s">
        <v>274</v>
      </c>
    </row>
    <row r="57" customFormat="false" ht="35.05" hidden="false" customHeight="false" outlineLevel="0" collapsed="false">
      <c r="A57" s="5" t="s">
        <v>275</v>
      </c>
      <c r="B57" s="6" t="s">
        <v>95</v>
      </c>
      <c r="C57" s="7" t="s">
        <v>276</v>
      </c>
      <c r="D57" s="7" t="s">
        <v>277</v>
      </c>
      <c r="E57" s="5" t="s">
        <v>95</v>
      </c>
      <c r="F57" s="5" t="s">
        <v>123</v>
      </c>
      <c r="G57" s="5" t="s">
        <v>42</v>
      </c>
      <c r="H57" s="5" t="s">
        <v>43</v>
      </c>
      <c r="I57" s="8" t="s">
        <v>236</v>
      </c>
      <c r="J57" s="9" t="s">
        <v>237</v>
      </c>
      <c r="K57" s="7" t="s">
        <v>278</v>
      </c>
    </row>
    <row r="58" customFormat="false" ht="35.05" hidden="false" customHeight="false" outlineLevel="0" collapsed="false">
      <c r="A58" s="5" t="s">
        <v>279</v>
      </c>
      <c r="B58" s="6" t="s">
        <v>95</v>
      </c>
      <c r="C58" s="7" t="s">
        <v>280</v>
      </c>
      <c r="D58" s="7" t="s">
        <v>281</v>
      </c>
      <c r="E58" s="5" t="s">
        <v>95</v>
      </c>
      <c r="F58" s="5" t="s">
        <v>123</v>
      </c>
      <c r="G58" s="5" t="s">
        <v>42</v>
      </c>
      <c r="H58" s="5" t="s">
        <v>43</v>
      </c>
      <c r="I58" s="8" t="s">
        <v>236</v>
      </c>
      <c r="J58" s="9" t="s">
        <v>237</v>
      </c>
      <c r="K58" s="7" t="s">
        <v>282</v>
      </c>
    </row>
    <row r="59" customFormat="false" ht="35.05" hidden="false" customHeight="false" outlineLevel="0" collapsed="false">
      <c r="A59" s="5" t="s">
        <v>283</v>
      </c>
      <c r="B59" s="6" t="s">
        <v>95</v>
      </c>
      <c r="C59" s="7" t="s">
        <v>284</v>
      </c>
      <c r="D59" s="7" t="s">
        <v>285</v>
      </c>
      <c r="E59" s="5" t="s">
        <v>95</v>
      </c>
      <c r="F59" s="5" t="s">
        <v>123</v>
      </c>
      <c r="G59" s="5" t="s">
        <v>42</v>
      </c>
      <c r="H59" s="5" t="s">
        <v>43</v>
      </c>
      <c r="I59" s="8" t="s">
        <v>236</v>
      </c>
      <c r="J59" s="9" t="s">
        <v>237</v>
      </c>
      <c r="K59" s="7" t="s">
        <v>286</v>
      </c>
    </row>
    <row r="60" customFormat="false" ht="35.05" hidden="false" customHeight="false" outlineLevel="0" collapsed="false">
      <c r="A60" s="5" t="s">
        <v>287</v>
      </c>
      <c r="B60" s="6" t="s">
        <v>95</v>
      </c>
      <c r="C60" s="7" t="s">
        <v>288</v>
      </c>
      <c r="D60" s="7" t="s">
        <v>289</v>
      </c>
      <c r="E60" s="5" t="s">
        <v>95</v>
      </c>
      <c r="F60" s="5" t="s">
        <v>123</v>
      </c>
      <c r="G60" s="5" t="s">
        <v>42</v>
      </c>
      <c r="H60" s="5" t="s">
        <v>43</v>
      </c>
      <c r="I60" s="8" t="s">
        <v>236</v>
      </c>
      <c r="J60" s="9" t="s">
        <v>237</v>
      </c>
      <c r="K60" s="7" t="s">
        <v>290</v>
      </c>
    </row>
    <row r="61" customFormat="false" ht="23.85" hidden="false" customHeight="false" outlineLevel="0" collapsed="false">
      <c r="A61" s="5" t="s">
        <v>291</v>
      </c>
      <c r="B61" s="6" t="s">
        <v>292</v>
      </c>
      <c r="C61" s="7" t="s">
        <v>293</v>
      </c>
      <c r="D61" s="7" t="s">
        <v>294</v>
      </c>
      <c r="E61" s="5" t="s">
        <v>78</v>
      </c>
      <c r="F61" s="5" t="s">
        <v>123</v>
      </c>
      <c r="G61" s="5" t="s">
        <v>42</v>
      </c>
      <c r="H61" s="5" t="s">
        <v>43</v>
      </c>
      <c r="I61" s="8" t="s">
        <v>295</v>
      </c>
      <c r="J61" s="9" t="s">
        <v>296</v>
      </c>
      <c r="K61" s="7" t="s">
        <v>297</v>
      </c>
    </row>
    <row r="62" customFormat="false" ht="35.05" hidden="false" customHeight="false" outlineLevel="0" collapsed="false">
      <c r="A62" s="5" t="s">
        <v>298</v>
      </c>
      <c r="B62" s="6" t="s">
        <v>292</v>
      </c>
      <c r="C62" s="7" t="s">
        <v>299</v>
      </c>
      <c r="D62" s="7" t="s">
        <v>300</v>
      </c>
      <c r="E62" s="5" t="s">
        <v>147</v>
      </c>
      <c r="F62" s="5" t="s">
        <v>123</v>
      </c>
      <c r="G62" s="5" t="s">
        <v>42</v>
      </c>
      <c r="H62" s="5" t="s">
        <v>43</v>
      </c>
      <c r="I62" s="8" t="s">
        <v>295</v>
      </c>
      <c r="J62" s="9" t="s">
        <v>296</v>
      </c>
      <c r="K62" s="7" t="s">
        <v>301</v>
      </c>
    </row>
    <row r="63" customFormat="false" ht="35.05" hidden="false" customHeight="false" outlineLevel="0" collapsed="false">
      <c r="A63" s="5" t="s">
        <v>302</v>
      </c>
      <c r="B63" s="6" t="s">
        <v>292</v>
      </c>
      <c r="C63" s="7" t="s">
        <v>303</v>
      </c>
      <c r="D63" s="7" t="s">
        <v>304</v>
      </c>
      <c r="E63" s="5" t="s">
        <v>95</v>
      </c>
      <c r="F63" s="5" t="s">
        <v>123</v>
      </c>
      <c r="G63" s="5" t="s">
        <v>42</v>
      </c>
      <c r="H63" s="5" t="s">
        <v>61</v>
      </c>
      <c r="I63" s="8" t="s">
        <v>295</v>
      </c>
      <c r="J63" s="9" t="s">
        <v>296</v>
      </c>
      <c r="K63" s="7" t="s">
        <v>305</v>
      </c>
    </row>
    <row r="64" customFormat="false" ht="23.85" hidden="false" customHeight="false" outlineLevel="0" collapsed="false">
      <c r="A64" s="5" t="s">
        <v>306</v>
      </c>
      <c r="B64" s="6" t="s">
        <v>292</v>
      </c>
      <c r="C64" s="7" t="s">
        <v>307</v>
      </c>
      <c r="D64" s="7" t="s">
        <v>308</v>
      </c>
      <c r="E64" s="5" t="s">
        <v>78</v>
      </c>
      <c r="F64" s="5" t="s">
        <v>123</v>
      </c>
      <c r="G64" s="5" t="s">
        <v>90</v>
      </c>
      <c r="H64" s="5" t="s">
        <v>61</v>
      </c>
      <c r="I64" s="8" t="s">
        <v>295</v>
      </c>
      <c r="J64" s="9" t="s">
        <v>296</v>
      </c>
      <c r="K64" s="7" t="s">
        <v>309</v>
      </c>
    </row>
    <row r="65" customFormat="false" ht="23.85" hidden="false" customHeight="false" outlineLevel="0" collapsed="false">
      <c r="A65" s="5" t="s">
        <v>310</v>
      </c>
      <c r="B65" s="6" t="s">
        <v>311</v>
      </c>
      <c r="C65" s="7" t="s">
        <v>312</v>
      </c>
      <c r="D65" s="7" t="s">
        <v>313</v>
      </c>
      <c r="E65" s="5" t="s">
        <v>78</v>
      </c>
      <c r="F65" s="5" t="s">
        <v>123</v>
      </c>
      <c r="G65" s="5" t="s">
        <v>42</v>
      </c>
      <c r="H65" s="5" t="s">
        <v>43</v>
      </c>
      <c r="I65" s="8" t="s">
        <v>314</v>
      </c>
      <c r="J65" s="9" t="s">
        <v>315</v>
      </c>
      <c r="K65" s="7" t="s">
        <v>316</v>
      </c>
    </row>
    <row r="66" customFormat="false" ht="57.45" hidden="false" customHeight="false" outlineLevel="0" collapsed="false">
      <c r="A66" s="5" t="s">
        <v>317</v>
      </c>
      <c r="B66" s="6" t="s">
        <v>311</v>
      </c>
      <c r="C66" s="7" t="s">
        <v>318</v>
      </c>
      <c r="D66" s="7" t="s">
        <v>319</v>
      </c>
      <c r="E66" s="5" t="s">
        <v>78</v>
      </c>
      <c r="F66" s="5" t="s">
        <v>123</v>
      </c>
      <c r="G66" s="5" t="s">
        <v>42</v>
      </c>
      <c r="H66" s="5" t="s">
        <v>43</v>
      </c>
      <c r="I66" s="8" t="s">
        <v>314</v>
      </c>
      <c r="J66" s="9" t="s">
        <v>315</v>
      </c>
      <c r="K66" s="7" t="s">
        <v>320</v>
      </c>
    </row>
    <row r="67" customFormat="false" ht="23.85" hidden="false" customHeight="false" outlineLevel="0" collapsed="false">
      <c r="A67" s="5" t="s">
        <v>321</v>
      </c>
      <c r="B67" s="6" t="s">
        <v>311</v>
      </c>
      <c r="C67" s="7" t="s">
        <v>322</v>
      </c>
      <c r="D67" s="7" t="s">
        <v>323</v>
      </c>
      <c r="E67" s="5" t="s">
        <v>78</v>
      </c>
      <c r="F67" s="5" t="s">
        <v>123</v>
      </c>
      <c r="G67" s="5" t="s">
        <v>42</v>
      </c>
      <c r="H67" s="5" t="s">
        <v>43</v>
      </c>
      <c r="I67" s="8" t="s">
        <v>314</v>
      </c>
      <c r="J67" s="9" t="s">
        <v>315</v>
      </c>
      <c r="K67" s="7" t="s">
        <v>324</v>
      </c>
    </row>
    <row r="68" customFormat="false" ht="23.85" hidden="false" customHeight="false" outlineLevel="0" collapsed="false">
      <c r="A68" s="5" t="s">
        <v>325</v>
      </c>
      <c r="B68" s="6" t="s">
        <v>311</v>
      </c>
      <c r="C68" s="7" t="s">
        <v>326</v>
      </c>
      <c r="D68" s="7" t="s">
        <v>327</v>
      </c>
      <c r="E68" s="5" t="s">
        <v>78</v>
      </c>
      <c r="F68" s="5" t="s">
        <v>123</v>
      </c>
      <c r="G68" s="5" t="s">
        <v>42</v>
      </c>
      <c r="H68" s="5" t="s">
        <v>43</v>
      </c>
      <c r="I68" s="8" t="s">
        <v>314</v>
      </c>
      <c r="J68" s="9" t="s">
        <v>315</v>
      </c>
      <c r="K68" s="7"/>
    </row>
    <row r="69" customFormat="false" ht="23.85" hidden="false" customHeight="false" outlineLevel="0" collapsed="false">
      <c r="A69" s="5" t="s">
        <v>328</v>
      </c>
      <c r="B69" s="6" t="s">
        <v>311</v>
      </c>
      <c r="C69" s="7" t="s">
        <v>329</v>
      </c>
      <c r="D69" s="7" t="s">
        <v>330</v>
      </c>
      <c r="E69" s="5" t="s">
        <v>78</v>
      </c>
      <c r="F69" s="5" t="s">
        <v>123</v>
      </c>
      <c r="G69" s="5" t="s">
        <v>42</v>
      </c>
      <c r="H69" s="5" t="s">
        <v>43</v>
      </c>
      <c r="I69" s="8" t="s">
        <v>314</v>
      </c>
      <c r="J69" s="9" t="s">
        <v>315</v>
      </c>
      <c r="K69" s="7"/>
    </row>
    <row r="70" customFormat="false" ht="23.85" hidden="false" customHeight="false" outlineLevel="0" collapsed="false">
      <c r="A70" s="5" t="s">
        <v>331</v>
      </c>
      <c r="B70" s="6" t="s">
        <v>311</v>
      </c>
      <c r="C70" s="7" t="s">
        <v>332</v>
      </c>
      <c r="D70" s="7" t="s">
        <v>333</v>
      </c>
      <c r="E70" s="5" t="s">
        <v>147</v>
      </c>
      <c r="F70" s="5" t="s">
        <v>123</v>
      </c>
      <c r="G70" s="5" t="s">
        <v>42</v>
      </c>
      <c r="H70" s="5" t="s">
        <v>43</v>
      </c>
      <c r="I70" s="8" t="s">
        <v>314</v>
      </c>
      <c r="J70" s="9" t="s">
        <v>315</v>
      </c>
      <c r="K70" s="7"/>
    </row>
    <row r="71" customFormat="false" ht="23.85" hidden="false" customHeight="false" outlineLevel="0" collapsed="false">
      <c r="A71" s="5" t="s">
        <v>334</v>
      </c>
      <c r="B71" s="6" t="s">
        <v>311</v>
      </c>
      <c r="C71" s="7" t="s">
        <v>335</v>
      </c>
      <c r="D71" s="7" t="s">
        <v>336</v>
      </c>
      <c r="E71" s="5" t="s">
        <v>114</v>
      </c>
      <c r="F71" s="5" t="s">
        <v>123</v>
      </c>
      <c r="G71" s="5" t="s">
        <v>90</v>
      </c>
      <c r="H71" s="5" t="s">
        <v>61</v>
      </c>
      <c r="I71" s="8" t="s">
        <v>314</v>
      </c>
      <c r="J71" s="9" t="s">
        <v>315</v>
      </c>
      <c r="K71" s="7" t="s">
        <v>337</v>
      </c>
    </row>
    <row r="72" customFormat="false" ht="23.85" hidden="false" customHeight="false" outlineLevel="0" collapsed="false">
      <c r="A72" s="5" t="s">
        <v>338</v>
      </c>
      <c r="B72" s="6" t="s">
        <v>311</v>
      </c>
      <c r="C72" s="7" t="s">
        <v>339</v>
      </c>
      <c r="D72" s="7" t="s">
        <v>340</v>
      </c>
      <c r="E72" s="5" t="s">
        <v>78</v>
      </c>
      <c r="F72" s="5" t="s">
        <v>123</v>
      </c>
      <c r="G72" s="5" t="s">
        <v>42</v>
      </c>
      <c r="H72" s="5" t="s">
        <v>61</v>
      </c>
      <c r="I72" s="8" t="s">
        <v>314</v>
      </c>
      <c r="J72" s="9" t="s">
        <v>315</v>
      </c>
      <c r="K72" s="7"/>
    </row>
    <row r="73" customFormat="false" ht="15" hidden="false" customHeight="false" outlineLevel="0" collapsed="false">
      <c r="A73" s="5" t="s">
        <v>341</v>
      </c>
      <c r="B73" s="6" t="s">
        <v>342</v>
      </c>
      <c r="C73" s="7" t="s">
        <v>343</v>
      </c>
      <c r="D73" s="7" t="s">
        <v>344</v>
      </c>
      <c r="E73" s="5" t="s">
        <v>114</v>
      </c>
      <c r="F73" s="5" t="s">
        <v>115</v>
      </c>
      <c r="G73" s="5" t="s">
        <v>42</v>
      </c>
      <c r="H73" s="5" t="s">
        <v>43</v>
      </c>
      <c r="I73" s="8" t="s">
        <v>345</v>
      </c>
      <c r="J73" s="9" t="s">
        <v>346</v>
      </c>
      <c r="K73" s="7"/>
    </row>
    <row r="74" customFormat="false" ht="23.85" hidden="false" customHeight="false" outlineLevel="0" collapsed="false">
      <c r="A74" s="5" t="s">
        <v>347</v>
      </c>
      <c r="B74" s="6" t="s">
        <v>342</v>
      </c>
      <c r="C74" s="7" t="s">
        <v>348</v>
      </c>
      <c r="D74" s="7" t="s">
        <v>349</v>
      </c>
      <c r="E74" s="5" t="s">
        <v>114</v>
      </c>
      <c r="F74" s="5" t="s">
        <v>123</v>
      </c>
      <c r="G74" s="5" t="s">
        <v>107</v>
      </c>
      <c r="H74" s="5" t="s">
        <v>61</v>
      </c>
      <c r="I74" s="8" t="s">
        <v>350</v>
      </c>
      <c r="J74" s="9" t="s">
        <v>351</v>
      </c>
      <c r="K74" s="7"/>
    </row>
    <row r="75" customFormat="false" ht="35.05" hidden="false" customHeight="false" outlineLevel="0" collapsed="false">
      <c r="A75" s="5" t="s">
        <v>352</v>
      </c>
      <c r="B75" s="6" t="s">
        <v>342</v>
      </c>
      <c r="C75" s="7" t="s">
        <v>353</v>
      </c>
      <c r="D75" s="7" t="s">
        <v>354</v>
      </c>
      <c r="E75" s="5" t="s">
        <v>114</v>
      </c>
      <c r="F75" s="5" t="s">
        <v>123</v>
      </c>
      <c r="G75" s="5" t="s">
        <v>42</v>
      </c>
      <c r="H75" s="5" t="s">
        <v>43</v>
      </c>
      <c r="I75" s="8" t="s">
        <v>355</v>
      </c>
      <c r="J75" s="9" t="s">
        <v>356</v>
      </c>
      <c r="K75" s="7" t="s">
        <v>357</v>
      </c>
    </row>
    <row r="76" customFormat="false" ht="46.25" hidden="false" customHeight="false" outlineLevel="0" collapsed="false">
      <c r="A76" s="5" t="s">
        <v>358</v>
      </c>
      <c r="B76" s="6" t="s">
        <v>342</v>
      </c>
      <c r="C76" s="7" t="s">
        <v>359</v>
      </c>
      <c r="D76" s="7" t="s">
        <v>360</v>
      </c>
      <c r="E76" s="5" t="s">
        <v>114</v>
      </c>
      <c r="F76" s="5" t="s">
        <v>123</v>
      </c>
      <c r="G76" s="5" t="s">
        <v>42</v>
      </c>
      <c r="H76" s="5" t="s">
        <v>43</v>
      </c>
      <c r="I76" s="8" t="s">
        <v>361</v>
      </c>
      <c r="J76" s="9" t="s">
        <v>362</v>
      </c>
      <c r="K76" s="7" t="s">
        <v>363</v>
      </c>
    </row>
    <row r="77" customFormat="false" ht="23.85" hidden="false" customHeight="false" outlineLevel="0" collapsed="false">
      <c r="A77" s="5" t="s">
        <v>364</v>
      </c>
      <c r="B77" s="6" t="s">
        <v>342</v>
      </c>
      <c r="C77" s="7" t="s">
        <v>365</v>
      </c>
      <c r="D77" s="7" t="s">
        <v>366</v>
      </c>
      <c r="E77" s="5" t="s">
        <v>114</v>
      </c>
      <c r="F77" s="5" t="s">
        <v>123</v>
      </c>
      <c r="G77" s="5" t="s">
        <v>42</v>
      </c>
      <c r="H77" s="5" t="s">
        <v>43</v>
      </c>
      <c r="I77" s="8" t="s">
        <v>367</v>
      </c>
      <c r="J77" s="9" t="s">
        <v>368</v>
      </c>
      <c r="K77" s="7" t="s">
        <v>369</v>
      </c>
    </row>
    <row r="78" customFormat="false" ht="23.85" hidden="false" customHeight="false" outlineLevel="0" collapsed="false">
      <c r="A78" s="5" t="s">
        <v>370</v>
      </c>
      <c r="B78" s="6" t="s">
        <v>342</v>
      </c>
      <c r="C78" s="7" t="s">
        <v>371</v>
      </c>
      <c r="D78" s="7" t="s">
        <v>372</v>
      </c>
      <c r="E78" s="5" t="s">
        <v>114</v>
      </c>
      <c r="F78" s="5" t="s">
        <v>115</v>
      </c>
      <c r="G78" s="5" t="s">
        <v>42</v>
      </c>
      <c r="H78" s="5" t="s">
        <v>43</v>
      </c>
      <c r="I78" s="8" t="s">
        <v>373</v>
      </c>
      <c r="J78" s="9" t="s">
        <v>374</v>
      </c>
      <c r="K78" s="7"/>
    </row>
    <row r="79" customFormat="false" ht="15" hidden="false" customHeight="false" outlineLevel="0" collapsed="false">
      <c r="A79" s="5" t="s">
        <v>375</v>
      </c>
      <c r="B79" s="6" t="s">
        <v>342</v>
      </c>
      <c r="C79" s="7" t="s">
        <v>376</v>
      </c>
      <c r="D79" s="7" t="s">
        <v>377</v>
      </c>
      <c r="E79" s="5" t="s">
        <v>78</v>
      </c>
      <c r="F79" s="5" t="s">
        <v>115</v>
      </c>
      <c r="G79" s="5" t="s">
        <v>42</v>
      </c>
      <c r="H79" s="5" t="s">
        <v>96</v>
      </c>
      <c r="I79" s="8" t="s">
        <v>378</v>
      </c>
      <c r="J79" s="9" t="s">
        <v>379</v>
      </c>
      <c r="K79" s="7"/>
    </row>
    <row r="80" customFormat="false" ht="15" hidden="false" customHeight="false" outlineLevel="0" collapsed="false">
      <c r="A80" s="5" t="s">
        <v>380</v>
      </c>
      <c r="B80" s="6" t="s">
        <v>342</v>
      </c>
      <c r="C80" s="7" t="s">
        <v>381</v>
      </c>
      <c r="D80" s="7" t="s">
        <v>382</v>
      </c>
      <c r="E80" s="5" t="s">
        <v>114</v>
      </c>
      <c r="F80" s="5" t="s">
        <v>41</v>
      </c>
      <c r="G80" s="5" t="s">
        <v>42</v>
      </c>
      <c r="H80" s="5" t="s">
        <v>96</v>
      </c>
      <c r="I80" s="8" t="s">
        <v>383</v>
      </c>
      <c r="J80" s="9" t="s">
        <v>384</v>
      </c>
      <c r="K80" s="7" t="s">
        <v>385</v>
      </c>
    </row>
  </sheetData>
  <autoFilter ref="A1:K80"/>
  <conditionalFormatting sqref="G2:G80">
    <cfRule type="expression" priority="2" aboveAverage="0" equalAverage="0" bottom="0" percent="0" rank="0" text="" dxfId="12">
      <formula>$G2="Live"</formula>
    </cfRule>
    <cfRule type="expression" priority="3" aboveAverage="0" equalAverage="0" bottom="0" percent="0" rank="0" text="" dxfId="13">
      <formula>$G2="Extend"</formula>
    </cfRule>
    <cfRule type="expression" priority="4" aboveAverage="0" equalAverage="0" bottom="0" percent="0" rank="0" text="" dxfId="14">
      <formula>$G2="Build"</formula>
    </cfRule>
  </conditionalFormatting>
  <dataValidations count="2">
    <dataValidation allowBlank="false" error="One of Live, Extend, Build" errorStyle="stop" errorTitle="Status" operator="between" showDropDown="false" showErrorMessage="true" showInputMessage="false" sqref="G2:G80" type="list">
      <formula1>"Live,Extend,Build"</formula1>
      <formula2>0</formula2>
    </dataValidation>
    <dataValidation allowBlank="false" error="One of P1, P2, P3" errorStyle="stop" errorTitle="Priority" operator="between" showDropDown="false" showErrorMessage="true" showInputMessage="false" sqref="H2:H80" type="list">
      <formula1>"P1,P2,P3"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0" t="s">
        <v>386</v>
      </c>
    </row>
    <row r="3" customFormat="false" ht="15" hidden="false" customHeight="false" outlineLevel="0" collapsed="false">
      <c r="A3" s="11" t="s">
        <v>30</v>
      </c>
      <c r="B3" s="11" t="s">
        <v>42</v>
      </c>
      <c r="C3" s="11" t="s">
        <v>90</v>
      </c>
      <c r="D3" s="11" t="s">
        <v>107</v>
      </c>
      <c r="E3" s="11" t="s">
        <v>387</v>
      </c>
    </row>
    <row r="4" customFormat="false" ht="15" hidden="false" customHeight="false" outlineLevel="0" collapsed="false">
      <c r="A4" s="12" t="s">
        <v>37</v>
      </c>
      <c r="B4" s="13" t="n">
        <f aca="false">COUNTIFS(Features!$B$2:$B$80,$A4,Features!$G$2:$G$80,"Live")</f>
        <v>13</v>
      </c>
      <c r="C4" s="13" t="n">
        <f aca="false">COUNTIFS(Features!$B$2:$B$80,$A4,Features!$G$2:$G$80,"Extend")</f>
        <v>2</v>
      </c>
      <c r="D4" s="13" t="n">
        <f aca="false">COUNTIFS(Features!$B$2:$B$80,$A4,Features!$G$2:$G$80,"Build")</f>
        <v>2</v>
      </c>
      <c r="E4" s="13" t="n">
        <f aca="false">SUM(B4:D4)</f>
        <v>17</v>
      </c>
    </row>
    <row r="5" customFormat="false" ht="15" hidden="false" customHeight="false" outlineLevel="0" collapsed="false">
      <c r="A5" s="12" t="s">
        <v>120</v>
      </c>
      <c r="B5" s="13" t="n">
        <f aca="false">COUNTIFS(Features!$B$2:$B$80,$A5,Features!$G$2:$G$80,"Live")</f>
        <v>8</v>
      </c>
      <c r="C5" s="13" t="n">
        <f aca="false">COUNTIFS(Features!$B$2:$B$80,$A5,Features!$G$2:$G$80,"Extend")</f>
        <v>0</v>
      </c>
      <c r="D5" s="13" t="n">
        <f aca="false">COUNTIFS(Features!$B$2:$B$80,$A5,Features!$G$2:$G$80,"Build")</f>
        <v>1</v>
      </c>
      <c r="E5" s="13" t="n">
        <f aca="false">SUM(B5:D5)</f>
        <v>9</v>
      </c>
    </row>
    <row r="6" customFormat="false" ht="15" hidden="false" customHeight="false" outlineLevel="0" collapsed="false">
      <c r="A6" s="12" t="s">
        <v>162</v>
      </c>
      <c r="B6" s="13" t="n">
        <f aca="false">COUNTIFS(Features!$B$2:$B$80,$A6,Features!$G$2:$G$80,"Live")</f>
        <v>12</v>
      </c>
      <c r="C6" s="13" t="n">
        <f aca="false">COUNTIFS(Features!$B$2:$B$80,$A6,Features!$G$2:$G$80,"Extend")</f>
        <v>0</v>
      </c>
      <c r="D6" s="13" t="n">
        <f aca="false">COUNTIFS(Features!$B$2:$B$80,$A6,Features!$G$2:$G$80,"Build")</f>
        <v>0</v>
      </c>
      <c r="E6" s="13" t="n">
        <f aca="false">SUM(B6:D6)</f>
        <v>12</v>
      </c>
    </row>
    <row r="7" customFormat="false" ht="15" hidden="false" customHeight="false" outlineLevel="0" collapsed="false">
      <c r="A7" s="12" t="s">
        <v>212</v>
      </c>
      <c r="B7" s="13" t="n">
        <f aca="false">COUNTIFS(Features!$B$2:$B$80,$A7,Features!$G$2:$G$80,"Live")</f>
        <v>6</v>
      </c>
      <c r="C7" s="13" t="n">
        <f aca="false">COUNTIFS(Features!$B$2:$B$80,$A7,Features!$G$2:$G$80,"Extend")</f>
        <v>0</v>
      </c>
      <c r="D7" s="13" t="n">
        <f aca="false">COUNTIFS(Features!$B$2:$B$80,$A7,Features!$G$2:$G$80,"Build")</f>
        <v>0</v>
      </c>
      <c r="E7" s="13" t="n">
        <f aca="false">SUM(B7:D7)</f>
        <v>6</v>
      </c>
    </row>
    <row r="8" customFormat="false" ht="15" hidden="false" customHeight="false" outlineLevel="0" collapsed="false">
      <c r="A8" s="12" t="s">
        <v>95</v>
      </c>
      <c r="B8" s="13" t="n">
        <f aca="false">COUNTIFS(Features!$B$2:$B$80,$A8,Features!$G$2:$G$80,"Live")</f>
        <v>15</v>
      </c>
      <c r="C8" s="13" t="n">
        <f aca="false">COUNTIFS(Features!$B$2:$B$80,$A8,Features!$G$2:$G$80,"Extend")</f>
        <v>0</v>
      </c>
      <c r="D8" s="13" t="n">
        <f aca="false">COUNTIFS(Features!$B$2:$B$80,$A8,Features!$G$2:$G$80,"Build")</f>
        <v>0</v>
      </c>
      <c r="E8" s="13" t="n">
        <f aca="false">SUM(B8:D8)</f>
        <v>15</v>
      </c>
    </row>
    <row r="9" customFormat="false" ht="15" hidden="false" customHeight="false" outlineLevel="0" collapsed="false">
      <c r="A9" s="12" t="s">
        <v>292</v>
      </c>
      <c r="B9" s="13" t="n">
        <f aca="false">COUNTIFS(Features!$B$2:$B$80,$A9,Features!$G$2:$G$80,"Live")</f>
        <v>3</v>
      </c>
      <c r="C9" s="13" t="n">
        <f aca="false">COUNTIFS(Features!$B$2:$B$80,$A9,Features!$G$2:$G$80,"Extend")</f>
        <v>1</v>
      </c>
      <c r="D9" s="13" t="n">
        <f aca="false">COUNTIFS(Features!$B$2:$B$80,$A9,Features!$G$2:$G$80,"Build")</f>
        <v>0</v>
      </c>
      <c r="E9" s="13" t="n">
        <f aca="false">SUM(B9:D9)</f>
        <v>4</v>
      </c>
    </row>
    <row r="10" customFormat="false" ht="15" hidden="false" customHeight="false" outlineLevel="0" collapsed="false">
      <c r="A10" s="12" t="s">
        <v>311</v>
      </c>
      <c r="B10" s="13" t="n">
        <f aca="false">COUNTIFS(Features!$B$2:$B$80,$A10,Features!$G$2:$G$80,"Live")</f>
        <v>7</v>
      </c>
      <c r="C10" s="13" t="n">
        <f aca="false">COUNTIFS(Features!$B$2:$B$80,$A10,Features!$G$2:$G$80,"Extend")</f>
        <v>1</v>
      </c>
      <c r="D10" s="13" t="n">
        <f aca="false">COUNTIFS(Features!$B$2:$B$80,$A10,Features!$G$2:$G$80,"Build")</f>
        <v>0</v>
      </c>
      <c r="E10" s="13" t="n">
        <f aca="false">SUM(B10:D10)</f>
        <v>8</v>
      </c>
    </row>
    <row r="11" customFormat="false" ht="15" hidden="false" customHeight="false" outlineLevel="0" collapsed="false">
      <c r="A11" s="12" t="s">
        <v>342</v>
      </c>
      <c r="B11" s="13" t="n">
        <f aca="false">COUNTIFS(Features!$B$2:$B$80,$A11,Features!$G$2:$G$80,"Live")</f>
        <v>7</v>
      </c>
      <c r="C11" s="13" t="n">
        <f aca="false">COUNTIFS(Features!$B$2:$B$80,$A11,Features!$G$2:$G$80,"Extend")</f>
        <v>0</v>
      </c>
      <c r="D11" s="13" t="n">
        <f aca="false">COUNTIFS(Features!$B$2:$B$80,$A11,Features!$G$2:$G$80,"Build")</f>
        <v>1</v>
      </c>
      <c r="E11" s="13" t="n">
        <f aca="false">SUM(B11:D11)</f>
        <v>8</v>
      </c>
    </row>
    <row r="12" customFormat="false" ht="15" hidden="false" customHeight="false" outlineLevel="0" collapsed="false">
      <c r="A12" s="14" t="s">
        <v>387</v>
      </c>
      <c r="B12" s="15" t="n">
        <f aca="false">SUM(B4:B11)</f>
        <v>71</v>
      </c>
      <c r="C12" s="15" t="n">
        <f aca="false">SUM(C4:C11)</f>
        <v>4</v>
      </c>
      <c r="D12" s="15" t="n">
        <f aca="false">SUM(D4:D11)</f>
        <v>4</v>
      </c>
      <c r="E12" s="15" t="n">
        <f aca="false">SUM(E4:E11)</f>
        <v>79</v>
      </c>
    </row>
    <row r="14" customFormat="false" ht="17.35" hidden="false" customHeight="false" outlineLevel="0" collapsed="false">
      <c r="A14" s="10" t="s">
        <v>388</v>
      </c>
    </row>
    <row r="16" customFormat="false" ht="15" hidden="false" customHeight="false" outlineLevel="0" collapsed="false">
      <c r="A16" s="11" t="s">
        <v>18</v>
      </c>
      <c r="B16" s="11" t="s">
        <v>389</v>
      </c>
      <c r="C16" s="11" t="s">
        <v>42</v>
      </c>
      <c r="D16" s="11" t="s">
        <v>390</v>
      </c>
    </row>
    <row r="17" customFormat="false" ht="15" hidden="false" customHeight="false" outlineLevel="0" collapsed="false">
      <c r="A17" s="12" t="s">
        <v>40</v>
      </c>
      <c r="B17" s="13" t="n">
        <f aca="false">COUNTIF(Features!$E$2:$E$80,$A17)</f>
        <v>14</v>
      </c>
      <c r="C17" s="13" t="n">
        <f aca="false">COUNTIFS(Features!$E$2:$E$80,$A17,Features!$G$2:$G$80,"Live")</f>
        <v>13</v>
      </c>
      <c r="D17" s="13" t="n">
        <f aca="false">B17-C17</f>
        <v>1</v>
      </c>
    </row>
    <row r="18" customFormat="false" ht="15" hidden="false" customHeight="false" outlineLevel="0" collapsed="false">
      <c r="A18" s="12" t="s">
        <v>78</v>
      </c>
      <c r="B18" s="13" t="n">
        <f aca="false">COUNTIF(Features!$E$2:$E$80,$A18)</f>
        <v>16</v>
      </c>
      <c r="C18" s="13" t="n">
        <f aca="false">COUNTIFS(Features!$E$2:$E$80,$A18,Features!$G$2:$G$80,"Live")</f>
        <v>13</v>
      </c>
      <c r="D18" s="13" t="n">
        <f aca="false">B18-C18</f>
        <v>3</v>
      </c>
    </row>
    <row r="19" customFormat="false" ht="15" hidden="false" customHeight="false" outlineLevel="0" collapsed="false">
      <c r="A19" s="12" t="s">
        <v>95</v>
      </c>
      <c r="B19" s="13" t="n">
        <f aca="false">COUNTIF(Features!$E$2:$E$80,$A19)</f>
        <v>18</v>
      </c>
      <c r="C19" s="13" t="n">
        <f aca="false">COUNTIFS(Features!$E$2:$E$80,$A19,Features!$G$2:$G$80,"Live")</f>
        <v>18</v>
      </c>
      <c r="D19" s="13" t="n">
        <f aca="false">B19-C19</f>
        <v>0</v>
      </c>
    </row>
    <row r="20" customFormat="false" ht="15" hidden="false" customHeight="false" outlineLevel="0" collapsed="false">
      <c r="A20" s="12" t="s">
        <v>114</v>
      </c>
      <c r="B20" s="13" t="n">
        <f aca="false">COUNTIF(Features!$E$2:$E$80,$A20)</f>
        <v>9</v>
      </c>
      <c r="C20" s="13" t="n">
        <f aca="false">COUNTIFS(Features!$E$2:$E$80,$A20,Features!$G$2:$G$80,"Live")</f>
        <v>6</v>
      </c>
      <c r="D20" s="13" t="n">
        <f aca="false">B20-C20</f>
        <v>3</v>
      </c>
    </row>
    <row r="21" customFormat="false" ht="15" hidden="false" customHeight="false" outlineLevel="0" collapsed="false">
      <c r="A21" s="12" t="s">
        <v>134</v>
      </c>
      <c r="B21" s="13" t="n">
        <f aca="false">COUNTIF(Features!$E$2:$E$80,$A21)</f>
        <v>3</v>
      </c>
      <c r="C21" s="13" t="n">
        <f aca="false">COUNTIFS(Features!$E$2:$E$80,$A21,Features!$G$2:$G$80,"Live")</f>
        <v>3</v>
      </c>
      <c r="D21" s="13" t="n">
        <f aca="false">B21-C21</f>
        <v>0</v>
      </c>
    </row>
    <row r="22" customFormat="false" ht="15" hidden="false" customHeight="false" outlineLevel="0" collapsed="false">
      <c r="A22" s="12" t="s">
        <v>147</v>
      </c>
      <c r="B22" s="13" t="n">
        <f aca="false">COUNTIF(Features!$E$2:$E$80,$A22)</f>
        <v>5</v>
      </c>
      <c r="C22" s="13" t="n">
        <f aca="false">COUNTIFS(Features!$E$2:$E$80,$A22,Features!$G$2:$G$80,"Live")</f>
        <v>4</v>
      </c>
      <c r="D22" s="13" t="n">
        <f aca="false">B22-C22</f>
        <v>1</v>
      </c>
    </row>
    <row r="23" customFormat="false" ht="15" hidden="false" customHeight="false" outlineLevel="0" collapsed="false">
      <c r="A23" s="12" t="s">
        <v>162</v>
      </c>
      <c r="B23" s="13" t="n">
        <f aca="false">COUNTIF(Features!$E$2:$E$80,$A23)</f>
        <v>14</v>
      </c>
      <c r="C23" s="13" t="n">
        <f aca="false">COUNTIFS(Features!$E$2:$E$80,$A23,Features!$G$2:$G$80,"Live")</f>
        <v>14</v>
      </c>
      <c r="D23" s="13" t="n">
        <f aca="false">B23-C23</f>
        <v>0</v>
      </c>
    </row>
    <row r="25" customFormat="false" ht="17.35" hidden="false" customHeight="false" outlineLevel="0" collapsed="false">
      <c r="A25" s="10" t="s">
        <v>391</v>
      </c>
    </row>
    <row r="26" customFormat="false" ht="42" hidden="false" customHeight="true" outlineLevel="0" collapsed="false">
      <c r="A26" s="16" t="s">
        <v>33</v>
      </c>
      <c r="B26" s="17" t="s">
        <v>392</v>
      </c>
      <c r="C26" s="17"/>
      <c r="D26" s="17"/>
      <c r="E26" s="17"/>
    </row>
    <row r="27" customFormat="false" ht="42" hidden="false" customHeight="true" outlineLevel="0" collapsed="false">
      <c r="A27" s="18" t="s">
        <v>34</v>
      </c>
      <c r="B27" s="17" t="s">
        <v>393</v>
      </c>
      <c r="C27" s="17"/>
      <c r="D27" s="17"/>
      <c r="E27" s="17"/>
    </row>
  </sheetData>
  <mergeCells count="2">
    <mergeCell ref="B26:E26"/>
    <mergeCell ref="B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2026-10-31T15:06:09Z</dcterms:created>
  <dc:creator>openpyxl</dc:creator>
  <dc:description/>
  <dc:language>en-US</dc:language>
  <cp:lastModifiedBy/>
  <dcterms:modified xsi:type="dcterms:W3CDTF">2026-10-31T15:06:09Z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