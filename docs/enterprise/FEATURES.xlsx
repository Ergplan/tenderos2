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eature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Teams and step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0" borderId="0" pivotButton="0" quotePrefix="0" xfId="0"/>
    <xf numFmtId="0" fontId="3" fillId="2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Features" displayName="Features" ref="A1:I79" headerRowCount="1">
  <autoFilter ref="A1:I79"/>
  <tableColumns count="9">
    <tableColumn id="1" name="ID"/>
    <tableColumn id="2" name="Area"/>
    <tableColumn id="3" name="Feature"/>
    <tableColumn id="4" name="What it does"/>
    <tableColumn id="5" name="Team"/>
    <tableColumn id="6" name="Zone"/>
    <tableColumn id="7" name="Status"/>
    <tableColumn id="8" name="Priority"/>
    <tableColumn id="9" name="Notes / where"/>
  </tableColumns>
  <tableStyleInfo name="TableStyleLight1" showRowStripes="1"/>
</table>
</file>

<file path=xl/tables/table2.xml><?xml version="1.0" encoding="utf-8"?>
<table xmlns="http://schemas.openxmlformats.org/spreadsheetml/2006/main" id="2" name="Steps" displayName="Steps" ref="A1:D11" headerRowCount="1">
  <autoFilter ref="A1:D11"/>
  <tableColumns count="4">
    <tableColumn id="1" name="Step"/>
    <tableColumn id="2" name="What is on it"/>
    <tableColumn id="3" name="Owner"/>
    <tableColumn id="4" name="Gat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TenderOS Enterprise: features list</t>
        </is>
      </c>
    </row>
    <row r="2">
      <c r="A2" s="2" t="inlineStr"/>
    </row>
    <row r="3">
      <c r="A3" s="2" t="inlineStr">
        <is>
          <t>One row per feature on the Features sheet. Columns: Area, Feature, What it does, Team (who fills it in or owns it), Zone, Status, Priority, Notes.</t>
        </is>
      </c>
    </row>
    <row r="4">
      <c r="A4" s="2" t="inlineStr"/>
    </row>
    <row r="5">
      <c r="A5" s="1" t="inlineStr">
        <is>
          <t>Zone</t>
        </is>
      </c>
    </row>
    <row r="6">
      <c r="A6" s="2" t="inlineStr">
        <is>
          <t>DMZ: Tender intake zone: internet-facing, holds the tender documents and the cloud LLMs; no bid data</t>
        </is>
      </c>
    </row>
    <row r="7">
      <c r="A7" s="2" t="inlineStr">
        <is>
          <t>Core: Militarised zone: the client's network, TenderOS with the bid, the engine and the model; no cloud LLM</t>
        </is>
      </c>
    </row>
    <row r="8">
      <c r="A8" s="2" t="inlineStr">
        <is>
          <t>Both: Present in both zones</t>
        </is>
      </c>
    </row>
    <row r="9">
      <c r="A9" s="2" t="inlineStr"/>
    </row>
    <row r="10">
      <c r="A10" s="1" t="inlineStr">
        <is>
          <t>Status</t>
        </is>
      </c>
    </row>
    <row r="11">
      <c r="A11" s="2" t="inlineStr">
        <is>
          <t>Live: In TenderOS Demo 2 today</t>
        </is>
      </c>
    </row>
    <row r="12">
      <c r="A12" s="2" t="inlineStr">
        <is>
          <t>Extend: Exists today; changes for the enterprise version</t>
        </is>
      </c>
    </row>
    <row r="13">
      <c r="A13" s="2" t="inlineStr">
        <is>
          <t>Build: New for the enterprise version</t>
        </is>
      </c>
    </row>
    <row r="14">
      <c r="A14" s="2" t="inlineStr"/>
    </row>
    <row r="15">
      <c r="A15" s="1" t="inlineStr">
        <is>
          <t>Priority</t>
        </is>
      </c>
    </row>
    <row r="16">
      <c r="A16" s="2" t="inlineStr">
        <is>
          <t>P1: Needed for the first enterprise release</t>
        </is>
      </c>
    </row>
    <row r="17">
      <c r="A17" s="2" t="inlineStr">
        <is>
          <t>P2: Second release</t>
        </is>
      </c>
    </row>
    <row r="18">
      <c r="A18" s="2" t="inlineStr">
        <is>
          <t>P3: Later</t>
        </is>
      </c>
    </row>
    <row r="19">
      <c r="A19" s="2" t="inlineStr"/>
    </row>
    <row r="20">
      <c r="A20" s="1" t="inlineStr">
        <is>
          <t>Team</t>
        </is>
      </c>
    </row>
    <row r="21">
      <c r="A21" s="2" t="inlineStr">
        <is>
          <t>Projects: Bid inputs and assumptions: capacity, dates, tender conditions, market, the bid itself</t>
        </is>
      </c>
    </row>
    <row r="22">
      <c r="A22" s="2" t="inlineStr">
        <is>
          <t>Design: Sources, sites, co-location, losses, profiles, plant studios</t>
        </is>
      </c>
    </row>
    <row r="23">
      <c r="A23" s="2" t="inlineStr">
        <is>
          <t>Finance: Financing, tax, working capital, debt, the financial model, the quote</t>
        </is>
      </c>
    </row>
    <row r="24">
      <c r="A24" s="2" t="inlineStr">
        <is>
          <t>Legal: Tender conditions, amendments, clarifications, formats and letters</t>
        </is>
      </c>
    </row>
    <row r="25">
      <c r="A25" s="2" t="inlineStr">
        <is>
          <t>Management: Tender manager / super admin: team, roles, sign-off, submission</t>
        </is>
      </c>
    </row>
    <row r="26">
      <c r="A26" s="2" t="inlineStr">
        <is>
          <t>IT: Installation, patches, backups, access</t>
        </is>
      </c>
    </row>
    <row r="27">
      <c r="A27" s="2" t="inlineStr">
        <is>
          <t>All: Every team</t>
        </is>
      </c>
    </row>
    <row r="28">
      <c r="A28" s="2" t="inlineStr"/>
    </row>
    <row r="29">
      <c r="A29" s="2" t="inlineStr">
        <is>
          <t>The Summary sheet counts the Features sheet with formulas; it follows any edit to a Status or Priority.</t>
        </is>
      </c>
    </row>
    <row r="30">
      <c r="A30" s="2" t="inlineStr">
        <is>
          <t>Source: the TenderOS Demo 2 repository (docs/*.md) for Live features; the enterprise requirements of October 2026 for Extend and Build.</t>
        </is>
      </c>
    </row>
    <row r="31">
      <c r="A31" s="2" t="inlineStr">
        <is>
          <t>Built by tools/build_enterprise_features.py; edit the list there and run it again, or edit this file directly.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30" customWidth="1" min="3" max="3"/>
    <col width="70" customWidth="1" min="4" max="4"/>
    <col width="12" customWidth="1" min="5" max="5"/>
    <col width="8" customWidth="1" min="6" max="6"/>
    <col width="9" customWidth="1" min="7" max="7"/>
    <col width="9" customWidth="1" min="8" max="8"/>
    <col width="48" customWidth="1" min="9" max="9"/>
  </cols>
  <sheetData>
    <row r="1">
      <c r="A1" s="3" t="inlineStr">
        <is>
          <t>ID</t>
        </is>
      </c>
      <c r="B1" s="3" t="inlineStr">
        <is>
          <t>Area</t>
        </is>
      </c>
      <c r="C1" s="3" t="inlineStr">
        <is>
          <t>Feature</t>
        </is>
      </c>
      <c r="D1" s="3" t="inlineStr">
        <is>
          <t>What it does</t>
        </is>
      </c>
      <c r="E1" s="3" t="inlineStr">
        <is>
          <t>Team</t>
        </is>
      </c>
      <c r="F1" s="3" t="inlineStr">
        <is>
          <t>Zone</t>
        </is>
      </c>
      <c r="G1" s="3" t="inlineStr">
        <is>
          <t>Status</t>
        </is>
      </c>
      <c r="H1" s="3" t="inlineStr">
        <is>
          <t>Priority</t>
        </is>
      </c>
      <c r="I1" s="3" t="inlineStr">
        <is>
          <t>Notes / where</t>
        </is>
      </c>
    </row>
    <row r="2">
      <c r="A2" s="4" t="inlineStr">
        <is>
          <t>TI-01</t>
        </is>
      </c>
      <c r="B2" s="4" t="inlineStr">
        <is>
          <t>Tender intake</t>
        </is>
      </c>
      <c r="C2" s="4" t="inlineStr">
        <is>
          <t>Upload a tender</t>
        </is>
      </c>
      <c r="D2" s="4" t="inlineStr">
        <is>
          <t>Any power tender (PDF, Word, text, to 60 MB); the type is detected or chosen</t>
        </is>
      </c>
      <c r="E2" s="4" t="inlineStr">
        <is>
          <t>Legal</t>
        </is>
      </c>
      <c r="F2" s="4" t="inlineStr">
        <is>
          <t>DMZ</t>
        </is>
      </c>
      <c r="G2" s="4" t="inlineStr">
        <is>
          <t>Live</t>
        </is>
      </c>
      <c r="H2" s="4" t="inlineStr">
        <is>
          <t>P1</t>
        </is>
      </c>
      <c r="I2" s="4" t="inlineStr">
        <is>
          <t>Tender to Bid start screen</t>
        </is>
      </c>
    </row>
    <row r="3">
      <c r="A3" s="4" t="inlineStr">
        <is>
          <t>TI-02</t>
        </is>
      </c>
      <c r="B3" s="4" t="inlineStr">
        <is>
          <t>Tender intake</t>
        </is>
      </c>
      <c r="C3" s="4" t="inlineStr">
        <is>
          <t>Upload a tender set</t>
        </is>
      </c>
      <c r="D3" s="4" t="inlineStr">
        <is>
          <t>RfS with amendments, clarifications and PPA/PSA (to 20 files): amendments applied to the RfS</t>
        </is>
      </c>
      <c r="E3" s="4" t="inlineStr">
        <is>
          <t>Legal</t>
        </is>
      </c>
      <c r="F3" s="4" t="inlineStr">
        <is>
          <t>DMZ</t>
        </is>
      </c>
      <c r="G3" s="4" t="inlineStr">
        <is>
          <t>Live</t>
        </is>
      </c>
      <c r="H3" s="4" t="inlineStr">
        <is>
          <t>P1</t>
        </is>
      </c>
      <c r="I3" s="4" t="inlineStr">
        <is>
          <t>engine/extraction/tenderset</t>
        </is>
      </c>
    </row>
    <row r="4">
      <c r="A4" s="4" t="inlineStr">
        <is>
          <t>TI-03</t>
        </is>
      </c>
      <c r="B4" s="4" t="inlineStr">
        <is>
          <t>Tender intake</t>
        </is>
      </c>
      <c r="C4" s="4" t="inlineStr">
        <is>
          <t>LLM reading of the tender</t>
        </is>
      </c>
      <c r="D4" s="4" t="inlineStr">
        <is>
          <t>Every value with page and quote; sections mapped; scan screen with five agents</t>
        </is>
      </c>
      <c r="E4" s="4" t="inlineStr">
        <is>
          <t>Legal</t>
        </is>
      </c>
      <c r="F4" s="4" t="inlineStr">
        <is>
          <t>DMZ</t>
        </is>
      </c>
      <c r="G4" s="4" t="inlineStr">
        <is>
          <t>Live</t>
        </is>
      </c>
      <c r="H4" s="4" t="inlineStr">
        <is>
          <t>P1</t>
        </is>
      </c>
      <c r="I4" s="4" t="inlineStr">
        <is>
          <t>Claude (claude-fable-5-1) through engine/extraction; rule-based reader without a key</t>
        </is>
      </c>
    </row>
    <row r="5">
      <c r="A5" s="4" t="inlineStr">
        <is>
          <t>TI-04</t>
        </is>
      </c>
      <c r="B5" s="4" t="inlineStr">
        <is>
          <t>Tender intake</t>
        </is>
      </c>
      <c r="C5" s="4" t="inlineStr">
        <is>
          <t>Table reading (Docling)</t>
        </is>
      </c>
      <c r="D5" s="4" t="inlineStr">
        <is>
          <t>Amendment and clarification tables through docling-serve; PyMuPDF fallback</t>
        </is>
      </c>
      <c r="E5" s="4" t="inlineStr">
        <is>
          <t>Legal</t>
        </is>
      </c>
      <c r="F5" s="4" t="inlineStr">
        <is>
          <t>DMZ</t>
        </is>
      </c>
      <c r="G5" s="4" t="inlineStr">
        <is>
          <t>Live</t>
        </is>
      </c>
      <c r="H5" s="4" t="inlineStr">
        <is>
          <t>P1</t>
        </is>
      </c>
      <c r="I5" s="4" t="inlineStr"/>
    </row>
    <row r="6">
      <c r="A6" s="4" t="inlineStr">
        <is>
          <t>TI-05</t>
        </is>
      </c>
      <c r="B6" s="4" t="inlineStr">
        <is>
          <t>Tender intake</t>
        </is>
      </c>
      <c r="C6" s="4" t="inlineStr">
        <is>
          <t>Scanned pages (LlamaParse)</t>
        </is>
      </c>
      <c r="D6" s="4" t="inlineStr">
        <is>
          <t>Pages without a text layer read through LlamaParse</t>
        </is>
      </c>
      <c r="E6" s="4" t="inlineStr">
        <is>
          <t>Legal</t>
        </is>
      </c>
      <c r="F6" s="4" t="inlineStr">
        <is>
          <t>DMZ</t>
        </is>
      </c>
      <c r="G6" s="4" t="inlineStr">
        <is>
          <t>Live</t>
        </is>
      </c>
      <c r="H6" s="4" t="inlineStr">
        <is>
          <t>P2</t>
        </is>
      </c>
      <c r="I6" s="4" t="inlineStr">
        <is>
          <t>Optional key</t>
        </is>
      </c>
    </row>
    <row r="7">
      <c r="A7" s="4" t="inlineStr">
        <is>
          <t>TI-06</t>
        </is>
      </c>
      <c r="B7" s="4" t="inlineStr">
        <is>
          <t>Tender intake</t>
        </is>
      </c>
      <c r="C7" s="4" t="inlineStr">
        <is>
          <t>Amendments: changes was → now</t>
        </is>
      </c>
      <c r="D7" s="4" t="inlineStr">
        <is>
          <t>Each clause before and after, with quotes, word diff and effect</t>
        </is>
      </c>
      <c r="E7" s="4" t="inlineStr">
        <is>
          <t>Legal</t>
        </is>
      </c>
      <c r="F7" s="4" t="inlineStr">
        <is>
          <t>DMZ</t>
        </is>
      </c>
      <c r="G7" s="4" t="inlineStr">
        <is>
          <t>Live</t>
        </is>
      </c>
      <c r="H7" s="4" t="inlineStr">
        <is>
          <t>P1</t>
        </is>
      </c>
      <c r="I7" s="4" t="inlineStr"/>
    </row>
    <row r="8">
      <c r="A8" s="4" t="inlineStr">
        <is>
          <t>TI-07</t>
        </is>
      </c>
      <c r="B8" s="4" t="inlineStr">
        <is>
          <t>Tender intake</t>
        </is>
      </c>
      <c r="C8" s="4" t="inlineStr">
        <is>
          <t>Clarifications with verdicts</t>
        </is>
      </c>
      <c r="D8" s="4" t="inlineStr">
        <is>
          <t>SECI's answers linked to the clauses, accepted / refused</t>
        </is>
      </c>
      <c r="E8" s="4" t="inlineStr">
        <is>
          <t>Legal</t>
        </is>
      </c>
      <c r="F8" s="4" t="inlineStr">
        <is>
          <t>DMZ</t>
        </is>
      </c>
      <c r="G8" s="4" t="inlineStr">
        <is>
          <t>Live</t>
        </is>
      </c>
      <c r="H8" s="4" t="inlineStr">
        <is>
          <t>P1</t>
        </is>
      </c>
      <c r="I8" s="4" t="inlineStr"/>
    </row>
    <row r="9">
      <c r="A9" s="4" t="inlineStr">
        <is>
          <t>TI-08</t>
        </is>
      </c>
      <c r="B9" s="4" t="inlineStr">
        <is>
          <t>Tender intake</t>
        </is>
      </c>
      <c r="C9" s="4" t="inlineStr">
        <is>
          <t>Consolidated reading</t>
        </is>
      </c>
      <c r="D9" s="4" t="inlineStr">
        <is>
          <t>RfS fields with amendments applied and their history</t>
        </is>
      </c>
      <c r="E9" s="4" t="inlineStr">
        <is>
          <t>Legal</t>
        </is>
      </c>
      <c r="F9" s="4" t="inlineStr">
        <is>
          <t>DMZ</t>
        </is>
      </c>
      <c r="G9" s="4" t="inlineStr">
        <is>
          <t>Live</t>
        </is>
      </c>
      <c r="H9" s="4" t="inlineStr">
        <is>
          <t>P1</t>
        </is>
      </c>
      <c r="I9" s="4" t="inlineStr"/>
    </row>
    <row r="10">
      <c r="A10" s="4" t="inlineStr">
        <is>
          <t>TI-09</t>
        </is>
      </c>
      <c r="B10" s="4" t="inlineStr">
        <is>
          <t>Tender intake</t>
        </is>
      </c>
      <c r="C10" s="4" t="inlineStr">
        <is>
          <t>Bid formats and bid process</t>
        </is>
      </c>
      <c r="D10" s="4" t="inlineStr">
        <is>
          <t>Formats with blanks and context; the bid steps from registration to PPA</t>
        </is>
      </c>
      <c r="E10" s="4" t="inlineStr">
        <is>
          <t>Legal</t>
        </is>
      </c>
      <c r="F10" s="4" t="inlineStr">
        <is>
          <t>DMZ</t>
        </is>
      </c>
      <c r="G10" s="4" t="inlineStr">
        <is>
          <t>Live</t>
        </is>
      </c>
      <c r="H10" s="4" t="inlineStr">
        <is>
          <t>P1</t>
        </is>
      </c>
      <c r="I10" s="4" t="inlineStr"/>
    </row>
    <row r="11">
      <c r="A11" s="4" t="inlineStr">
        <is>
          <t>TI-10</t>
        </is>
      </c>
      <c r="B11" s="4" t="inlineStr">
        <is>
          <t>Tender intake</t>
        </is>
      </c>
      <c r="C11" s="4" t="inlineStr">
        <is>
          <t>Search over the tender</t>
        </is>
      </c>
      <c r="D11" s="4" t="inlineStr">
        <is>
          <t>BM25 search over every page of the set</t>
        </is>
      </c>
      <c r="E11" s="4" t="inlineStr">
        <is>
          <t>All</t>
        </is>
      </c>
      <c r="F11" s="4" t="inlineStr">
        <is>
          <t>DMZ</t>
        </is>
      </c>
      <c r="G11" s="4" t="inlineStr">
        <is>
          <t>Live</t>
        </is>
      </c>
      <c r="H11" s="4" t="inlineStr">
        <is>
          <t>P2</t>
        </is>
      </c>
      <c r="I11" s="4" t="inlineStr">
        <is>
          <t>Haystack</t>
        </is>
      </c>
    </row>
    <row r="12">
      <c r="A12" s="4" t="inlineStr">
        <is>
          <t>TI-11</t>
        </is>
      </c>
      <c r="B12" s="4" t="inlineStr">
        <is>
          <t>Tender intake</t>
        </is>
      </c>
      <c r="C12" s="4" t="inlineStr">
        <is>
          <t>Curated tender packs</t>
        </is>
      </c>
      <c r="D12" s="4" t="inlineStr">
        <is>
          <t>A reviewed pack per tender (SECI FDRE-RTC-V): conditions, changes, clarifications, formats, every quote checked on its page</t>
        </is>
      </c>
      <c r="E12" s="4" t="inlineStr">
        <is>
          <t>Legal</t>
        </is>
      </c>
      <c r="F12" s="4" t="inlineStr">
        <is>
          <t>DMZ</t>
        </is>
      </c>
      <c r="G12" s="4" t="inlineStr">
        <is>
          <t>Live</t>
        </is>
      </c>
      <c r="H12" s="4" t="inlineStr">
        <is>
          <t>P1</t>
        </is>
      </c>
      <c r="I12" s="4" t="inlineStr">
        <is>
          <t>web/src/seci/seci-rtc-tm-v.json; tests/test_seci_pack.py</t>
        </is>
      </c>
    </row>
    <row r="13">
      <c r="A13" s="4" t="inlineStr">
        <is>
          <t>TI-12</t>
        </is>
      </c>
      <c r="B13" s="4" t="inlineStr">
        <is>
          <t>Tender intake</t>
        </is>
      </c>
      <c r="C13" s="4" t="inlineStr">
        <is>
          <t>Pre-bid queries</t>
        </is>
      </c>
      <c r="D13" s="4" t="inlineStr">
        <is>
          <t>Points to raise with the issuer, each quoting the clause and page; Word file</t>
        </is>
      </c>
      <c r="E13" s="4" t="inlineStr">
        <is>
          <t>Legal</t>
        </is>
      </c>
      <c r="F13" s="4" t="inlineStr">
        <is>
          <t>DMZ</t>
        </is>
      </c>
      <c r="G13" s="4" t="inlineStr">
        <is>
          <t>Live</t>
        </is>
      </c>
      <c r="H13" s="4" t="inlineStr">
        <is>
          <t>P2</t>
        </is>
      </c>
      <c r="I13" s="4" t="inlineStr"/>
    </row>
    <row r="14">
      <c r="A14" s="4" t="inlineStr">
        <is>
          <t>TI-13</t>
        </is>
      </c>
      <c r="B14" s="4" t="inlineStr">
        <is>
          <t>Tender intake</t>
        </is>
      </c>
      <c r="C14" s="4" t="inlineStr">
        <is>
          <t>Tender questions by voice / chat</t>
        </is>
      </c>
      <c r="D14" s="4" t="inlineStr">
        <is>
          <t>Ask the extracted tender questions; answers cite document and page</t>
        </is>
      </c>
      <c r="E14" s="4" t="inlineStr">
        <is>
          <t>All</t>
        </is>
      </c>
      <c r="F14" s="4" t="inlineStr">
        <is>
          <t>DMZ</t>
        </is>
      </c>
      <c r="G14" s="4" t="inlineStr">
        <is>
          <t>Extend</t>
        </is>
      </c>
      <c r="H14" s="4" t="inlineStr">
        <is>
          <t>P2</t>
        </is>
      </c>
      <c r="I14" s="4" t="inlineStr">
        <is>
          <t>GPT-Live bid agent today also drives the bid; in the DMZ it answers tender questions only</t>
        </is>
      </c>
    </row>
    <row r="15">
      <c r="A15" s="4" t="inlineStr">
        <is>
          <t>TI-14</t>
        </is>
      </c>
      <c r="B15" s="4" t="inlineStr">
        <is>
          <t>Tender intake</t>
        </is>
      </c>
      <c r="C15" s="4" t="inlineStr">
        <is>
          <t>CERC orders</t>
        </is>
      </c>
      <c r="D15" s="4" t="inlineStr">
        <is>
          <t>Tariff-adoption orders uploaded and read into facts with page and quote; SECI results as reported</t>
        </is>
      </c>
      <c r="E15" s="4" t="inlineStr">
        <is>
          <t>Finance</t>
        </is>
      </c>
      <c r="F15" s="4" t="inlineStr">
        <is>
          <t>DMZ</t>
        </is>
      </c>
      <c r="G15" s="4" t="inlineStr">
        <is>
          <t>Live</t>
        </is>
      </c>
      <c r="H15" s="4" t="inlineStr">
        <is>
          <t>P3</t>
        </is>
      </c>
      <c r="I15" s="4" t="inlineStr">
        <is>
          <t>Recent tenders tab</t>
        </is>
      </c>
    </row>
    <row r="16">
      <c r="A16" s="4" t="inlineStr">
        <is>
          <t>TI-15</t>
        </is>
      </c>
      <c r="B16" s="4" t="inlineStr">
        <is>
          <t>Tender intake</t>
        </is>
      </c>
      <c r="C16" s="4" t="inlineStr">
        <is>
          <t>Claude connector (MCP)</t>
        </is>
      </c>
      <c r="D16" s="4" t="inlineStr">
        <is>
          <t>TenderOS tools in Claude: tender lookup with citations, sizing, financials, What-if</t>
        </is>
      </c>
      <c r="E16" s="4" t="inlineStr">
        <is>
          <t>All</t>
        </is>
      </c>
      <c r="F16" s="4" t="inlineStr">
        <is>
          <t>DMZ</t>
        </is>
      </c>
      <c r="G16" s="4" t="inlineStr">
        <is>
          <t>Extend</t>
        </is>
      </c>
      <c r="H16" s="4" t="inlineStr">
        <is>
          <t>P3</t>
        </is>
      </c>
      <c r="I16" s="4" t="inlineStr">
        <is>
          <t>Demo only; in the enterprise version limited to the tender (no bid data) or off</t>
        </is>
      </c>
    </row>
    <row r="17">
      <c r="A17" s="4" t="inlineStr">
        <is>
          <t>TI-16</t>
        </is>
      </c>
      <c r="B17" s="4" t="inlineStr">
        <is>
          <t>Tender intake</t>
        </is>
      </c>
      <c r="C17" s="4" t="inlineStr">
        <is>
          <t>Review before transfer</t>
        </is>
      </c>
      <c r="D17" s="4" t="inlineStr">
        <is>
          <t>A reviewer confirms the reading (every value located on its page) before it is packaged for the core</t>
        </is>
      </c>
      <c r="E17" s="4" t="inlineStr">
        <is>
          <t>Legal</t>
        </is>
      </c>
      <c r="F17" s="4" t="inlineStr">
        <is>
          <t>DMZ</t>
        </is>
      </c>
      <c r="G17" s="4" t="inlineStr">
        <is>
          <t>Build</t>
        </is>
      </c>
      <c r="H17" s="4" t="inlineStr">
        <is>
          <t>P1</t>
        </is>
      </c>
      <c r="I17" s="4" t="inlineStr">
        <is>
          <t>Today: the reviewer ticks unlocated values in the workflow</t>
        </is>
      </c>
    </row>
    <row r="18">
      <c r="A18" s="4" t="inlineStr">
        <is>
          <t>TI-17</t>
        </is>
      </c>
      <c r="B18" s="4" t="inlineStr">
        <is>
          <t>Tender intake</t>
        </is>
      </c>
      <c r="C18" s="4" t="inlineStr">
        <is>
          <t>Transfer package to the core</t>
        </is>
      </c>
      <c r="D18" s="4" t="inlineStr">
        <is>
          <t>The reading, the pack and the documents exported as one signed, checksummed bundle; imported inside the core</t>
        </is>
      </c>
      <c r="E18" s="4" t="inlineStr">
        <is>
          <t>IT</t>
        </is>
      </c>
      <c r="F18" s="4" t="inlineStr">
        <is>
          <t>Both</t>
        </is>
      </c>
      <c r="G18" s="4" t="inlineStr">
        <is>
          <t>Build</t>
        </is>
      </c>
      <c r="H18" s="4" t="inlineStr">
        <is>
          <t>P1</t>
        </is>
      </c>
      <c r="I18" s="4" t="inlineStr">
        <is>
          <t>One-way: documents in, nothing out</t>
        </is>
      </c>
    </row>
    <row r="19">
      <c r="A19" s="4" t="inlineStr">
        <is>
          <t>BW-01</t>
        </is>
      </c>
      <c r="B19" s="4" t="inlineStr">
        <is>
          <t>Bid workspace</t>
        </is>
      </c>
      <c r="C19" s="4" t="inlineStr">
        <is>
          <t>Step-wise bid navigation</t>
        </is>
      </c>
      <c r="D19" s="4" t="inlineStr">
        <is>
          <t>One tender, one bid, steps in order with sign-off per step: Tender → Bid inputs → Design → Finance inputs → Sizing → Results → Financial model → What-if → Bid forms → Submission</t>
        </is>
      </c>
      <c r="E19" s="4" t="inlineStr">
        <is>
          <t>All</t>
        </is>
      </c>
      <c r="F19" s="4" t="inlineStr">
        <is>
          <t>Core</t>
        </is>
      </c>
      <c r="G19" s="4" t="inlineStr">
        <is>
          <t>Live</t>
        </is>
      </c>
      <c r="H19" s="4" t="inlineStr">
        <is>
          <t>P1</t>
        </is>
      </c>
      <c r="I19" s="4" t="inlineStr">
        <is>
          <t>SECI RTC tab: Tender → Conditions → Bid inputs (Projects) → Design → Finance inputs → Size → Financial model → What-if → Bid forms → Winning bid, each step labelled with its team; sign-off is per box (Evidence)</t>
        </is>
      </c>
    </row>
    <row r="20">
      <c r="A20" s="4" t="inlineStr">
        <is>
          <t>BW-02</t>
        </is>
      </c>
      <c r="B20" s="4" t="inlineStr">
        <is>
          <t>Bid workspace</t>
        </is>
      </c>
      <c r="C20" s="4" t="inlineStr">
        <is>
          <t>Team-wise input tabs</t>
        </is>
      </c>
      <c r="D20" s="4" t="inlineStr">
        <is>
          <t>Projects (bid inputs and assumptions), Design and Finance each get their own input tab; each box shows who owns it and whether it is filled, evidenced and signed off</t>
        </is>
      </c>
      <c r="E20" s="4" t="inlineStr">
        <is>
          <t>All</t>
        </is>
      </c>
      <c r="F20" s="4" t="inlineStr">
        <is>
          <t>Core</t>
        </is>
      </c>
      <c r="G20" s="4" t="inlineStr">
        <is>
          <t>Live</t>
        </is>
      </c>
      <c r="H20" s="4" t="inlineStr">
        <is>
          <t>P1</t>
        </is>
      </c>
      <c r="I20" s="4" t="inlineStr">
        <is>
          <t>Bid inputs (Projects), Design, Finance inputs as steps of their own; the paperclip on every box shows evidence and sign-off</t>
        </is>
      </c>
    </row>
    <row r="21">
      <c r="A21" s="4" t="inlineStr">
        <is>
          <t>BW-03</t>
        </is>
      </c>
      <c r="B21" s="4" t="inlineStr">
        <is>
          <t>Bid workspace</t>
        </is>
      </c>
      <c r="C21" s="4" t="inlineStr">
        <is>
          <t>Bid inputs and assumptions (Projects)</t>
        </is>
      </c>
      <c r="D21" s="4" t="inlineStr">
        <is>
          <t>Contracted MW, dates, supply profile and planning choices (Peak Hours, shortfall), market sale, assumptions register</t>
        </is>
      </c>
      <c r="E21" s="4" t="inlineStr">
        <is>
          <t>Projects</t>
        </is>
      </c>
      <c r="F21" s="4" t="inlineStr">
        <is>
          <t>Core</t>
        </is>
      </c>
      <c r="G21" s="4" t="inlineStr">
        <is>
          <t>Live</t>
        </is>
      </c>
      <c r="H21" s="4" t="inlineStr">
        <is>
          <t>P1</t>
        </is>
      </c>
      <c r="I21" s="4" t="inlineStr">
        <is>
          <t>The Bid inputs step; the assumptions register is the evidence register</t>
        </is>
      </c>
    </row>
    <row r="22">
      <c r="A22" s="4" t="inlineStr">
        <is>
          <t>BW-04</t>
        </is>
      </c>
      <c r="B22" s="4" t="inlineStr">
        <is>
          <t>Bid workspace</t>
        </is>
      </c>
      <c r="C22" s="4" t="inlineStr">
        <is>
          <t>Benchmarks</t>
        </is>
      </c>
      <c r="D22" s="4" t="inlineStr">
        <is>
          <t>Industry benchmarks (CERC norms, market prices) fill empty inputs, marked as benchmarks until changed</t>
        </is>
      </c>
      <c r="E22" s="4" t="inlineStr">
        <is>
          <t>All</t>
        </is>
      </c>
      <c r="F22" s="4" t="inlineStr">
        <is>
          <t>Core</t>
        </is>
      </c>
      <c r="G22" s="4" t="inlineStr">
        <is>
          <t>Live</t>
        </is>
      </c>
      <c r="H22" s="4" t="inlineStr">
        <is>
          <t>P1</t>
        </is>
      </c>
      <c r="I22" s="4" t="inlineStr"/>
    </row>
    <row r="23">
      <c r="A23" s="4" t="inlineStr">
        <is>
          <t>BW-05</t>
        </is>
      </c>
      <c r="B23" s="4" t="inlineStr">
        <is>
          <t>Bid workspace</t>
        </is>
      </c>
      <c r="C23" s="4" t="inlineStr">
        <is>
          <t>Tender conditions checklist</t>
        </is>
      </c>
      <c r="D23" s="4" t="inlineStr">
        <is>
          <t>Every condition against the bid: met, failed, pending; with page and quote</t>
        </is>
      </c>
      <c r="E23" s="4" t="inlineStr">
        <is>
          <t>Legal</t>
        </is>
      </c>
      <c r="F23" s="4" t="inlineStr">
        <is>
          <t>Core</t>
        </is>
      </c>
      <c r="G23" s="4" t="inlineStr">
        <is>
          <t>Live</t>
        </is>
      </c>
      <c r="H23" s="4" t="inlineStr">
        <is>
          <t>P1</t>
        </is>
      </c>
      <c r="I23" s="4" t="inlineStr"/>
    </row>
    <row r="24">
      <c r="A24" s="4" t="inlineStr">
        <is>
          <t>BW-06</t>
        </is>
      </c>
      <c r="B24" s="4" t="inlineStr">
        <is>
          <t>Bid workspace</t>
        </is>
      </c>
      <c r="C24" s="4" t="inlineStr">
        <is>
          <t>Saved bids with versions</t>
        </is>
      </c>
      <c r="D24" s="4" t="inlineStr">
        <is>
          <t>A bid saved to the library with versions; opened later; compared</t>
        </is>
      </c>
      <c r="E24" s="4" t="inlineStr">
        <is>
          <t>Management</t>
        </is>
      </c>
      <c r="F24" s="4" t="inlineStr">
        <is>
          <t>Core</t>
        </is>
      </c>
      <c r="G24" s="4" t="inlineStr">
        <is>
          <t>Live</t>
        </is>
      </c>
      <c r="H24" s="4" t="inlineStr">
        <is>
          <t>P1</t>
        </is>
      </c>
      <c r="I24" s="4" t="inlineStr">
        <is>
          <t>Scenario library</t>
        </is>
      </c>
    </row>
    <row r="25">
      <c r="A25" s="4" t="inlineStr">
        <is>
          <t>BW-07</t>
        </is>
      </c>
      <c r="B25" s="4" t="inlineStr">
        <is>
          <t>Bid workspace</t>
        </is>
      </c>
      <c r="C25" s="4" t="inlineStr">
        <is>
          <t>Sign-off per step and submission lock</t>
        </is>
      </c>
      <c r="D25" s="4" t="inlineStr">
        <is>
          <t>Each team signs off its step; the manager freezes the bid for submission; later edits make a new version</t>
        </is>
      </c>
      <c r="E25" s="4" t="inlineStr">
        <is>
          <t>Management</t>
        </is>
      </c>
      <c r="F25" s="4" t="inlineStr">
        <is>
          <t>Core</t>
        </is>
      </c>
      <c r="G25" s="4" t="inlineStr">
        <is>
          <t>Build</t>
        </is>
      </c>
      <c r="H25" s="4" t="inlineStr">
        <is>
          <t>P2</t>
        </is>
      </c>
      <c r="I25" s="4" t="inlineStr"/>
    </row>
    <row r="26">
      <c r="A26" s="4" t="inlineStr">
        <is>
          <t>BW-08</t>
        </is>
      </c>
      <c r="B26" s="4" t="inlineStr">
        <is>
          <t>Bid workspace</t>
        </is>
      </c>
      <c r="C26" s="4" t="inlineStr">
        <is>
          <t>Bid forms and letters</t>
        </is>
      </c>
      <c r="D26" s="4" t="inlineStr">
        <is>
          <t>Every RfS format filled from the bid, reviewed beside its page; letters in the RfS wording, editable; Word and PDF; the bid pack</t>
        </is>
      </c>
      <c r="E26" s="4" t="inlineStr">
        <is>
          <t>Legal</t>
        </is>
      </c>
      <c r="F26" s="4" t="inlineStr">
        <is>
          <t>Core</t>
        </is>
      </c>
      <c r="G26" s="4" t="inlineStr">
        <is>
          <t>Live</t>
        </is>
      </c>
      <c r="H26" s="4" t="inlineStr">
        <is>
          <t>P1</t>
        </is>
      </c>
      <c r="I26" s="4" t="inlineStr">
        <is>
          <t>SECI formats today; other tenders through their packs</t>
        </is>
      </c>
    </row>
    <row r="27">
      <c r="A27" s="4" t="inlineStr">
        <is>
          <t>BW-09</t>
        </is>
      </c>
      <c r="B27" s="4" t="inlineStr">
        <is>
          <t>Bid workspace</t>
        </is>
      </c>
      <c r="C27" s="4" t="inlineStr">
        <is>
          <t>Winning bid analysis</t>
        </is>
      </c>
      <c r="D27" s="4" t="inlineStr">
        <is>
          <t>The auction result and a bridge from the benchmark tariff to it, lever by lever</t>
        </is>
      </c>
      <c r="E27" s="4" t="inlineStr">
        <is>
          <t>Management</t>
        </is>
      </c>
      <c r="F27" s="4" t="inlineStr">
        <is>
          <t>Core</t>
        </is>
      </c>
      <c r="G27" s="4" t="inlineStr">
        <is>
          <t>Live</t>
        </is>
      </c>
      <c r="H27" s="4" t="inlineStr">
        <is>
          <t>P3</t>
        </is>
      </c>
      <c r="I27" s="4" t="inlineStr"/>
    </row>
    <row r="28">
      <c r="A28" s="4" t="inlineStr">
        <is>
          <t>D-01</t>
        </is>
      </c>
      <c r="B28" s="4" t="inlineStr">
        <is>
          <t>Design</t>
        </is>
      </c>
      <c r="C28" s="4" t="inlineStr">
        <is>
          <t>Supply sources</t>
        </is>
      </c>
      <c r="D28" s="4" t="inlineStr">
        <is>
          <t>Solar, wind, battery, biomass, hydro, thermal with costs, limits and fixed sizes</t>
        </is>
      </c>
      <c r="E28" s="4" t="inlineStr">
        <is>
          <t>Design</t>
        </is>
      </c>
      <c r="F28" s="4" t="inlineStr">
        <is>
          <t>Core</t>
        </is>
      </c>
      <c r="G28" s="4" t="inlineStr">
        <is>
          <t>Live</t>
        </is>
      </c>
      <c r="H28" s="4" t="inlineStr">
        <is>
          <t>P1</t>
        </is>
      </c>
      <c r="I28" s="4" t="inlineStr"/>
    </row>
    <row r="29">
      <c r="A29" s="4" t="inlineStr">
        <is>
          <t>D-02</t>
        </is>
      </c>
      <c r="B29" s="4" t="inlineStr">
        <is>
          <t>Design</t>
        </is>
      </c>
      <c r="C29" s="4" t="inlineStr">
        <is>
          <t>Solar plant studio</t>
        </is>
      </c>
      <c r="D29" s="4" t="inlineStr">
        <is>
          <t>Layout from modules, mounting, string or central inverters; cost in ₹/Wp; writes the cost into the bid</t>
        </is>
      </c>
      <c r="E29" s="4" t="inlineStr">
        <is>
          <t>Design</t>
        </is>
      </c>
      <c r="F29" s="4" t="inlineStr">
        <is>
          <t>Core</t>
        </is>
      </c>
      <c r="G29" s="4" t="inlineStr">
        <is>
          <t>Live</t>
        </is>
      </c>
      <c r="H29" s="4" t="inlineStr">
        <is>
          <t>P2</t>
        </is>
      </c>
      <c r="I29" s="4" t="inlineStr"/>
    </row>
    <row r="30">
      <c r="A30" s="4" t="inlineStr">
        <is>
          <t>D-03</t>
        </is>
      </c>
      <c r="B30" s="4" t="inlineStr">
        <is>
          <t>Design</t>
        </is>
      </c>
      <c r="C30" s="4" t="inlineStr">
        <is>
          <t>Wind farm studio</t>
        </is>
      </c>
      <c r="D30" s="4" t="inlineStr">
        <is>
          <t>Turbines by make, CUF at the site's wind, farm cost; writes the cost into the bid</t>
        </is>
      </c>
      <c r="E30" s="4" t="inlineStr">
        <is>
          <t>Design</t>
        </is>
      </c>
      <c r="F30" s="4" t="inlineStr">
        <is>
          <t>Core</t>
        </is>
      </c>
      <c r="G30" s="4" t="inlineStr">
        <is>
          <t>Live</t>
        </is>
      </c>
      <c r="H30" s="4" t="inlineStr">
        <is>
          <t>P2</t>
        </is>
      </c>
      <c r="I30" s="4" t="inlineStr"/>
    </row>
    <row r="31">
      <c r="A31" s="4" t="inlineStr">
        <is>
          <t>D-04</t>
        </is>
      </c>
      <c r="B31" s="4" t="inlineStr">
        <is>
          <t>Design</t>
        </is>
      </c>
      <c r="C31" s="4" t="inlineStr">
        <is>
          <t>Profiles: upload and view</t>
        </is>
      </c>
      <c r="D31" s="4" t="inlineStr">
        <is>
          <t>Hourly solar and wind profiles uploaded; CUF, month × hour heat map, monthly CUF, a week</t>
        </is>
      </c>
      <c r="E31" s="4" t="inlineStr">
        <is>
          <t>Design</t>
        </is>
      </c>
      <c r="F31" s="4" t="inlineStr">
        <is>
          <t>Core</t>
        </is>
      </c>
      <c r="G31" s="4" t="inlineStr">
        <is>
          <t>Live</t>
        </is>
      </c>
      <c r="H31" s="4" t="inlineStr">
        <is>
          <t>P1</t>
        </is>
      </c>
      <c r="I31" s="4" t="inlineStr"/>
    </row>
    <row r="32">
      <c r="A32" s="4" t="inlineStr">
        <is>
          <t>D-05</t>
        </is>
      </c>
      <c r="B32" s="4" t="inlineStr">
        <is>
          <t>Design</t>
        </is>
      </c>
      <c r="C32" s="4" t="inlineStr">
        <is>
          <t>CUF file download</t>
        </is>
      </c>
      <c r="D32" s="4" t="inlineStr">
        <is>
          <t>Download the profile used in the bid (as uploaded, and as scaled to the CUF entered) with its statistics</t>
        </is>
      </c>
      <c r="E32" s="4" t="inlineStr">
        <is>
          <t>Design</t>
        </is>
      </c>
      <c r="F32" s="4" t="inlineStr">
        <is>
          <t>Core</t>
        </is>
      </c>
      <c r="G32" s="4" t="inlineStr">
        <is>
          <t>Live</t>
        </is>
      </c>
      <c r="H32" s="4" t="inlineStr">
        <is>
          <t>P1</t>
        </is>
      </c>
      <c r="I32" s="4" t="inlineStr">
        <is>
          <t>CSV built in the browser; tools/check_cuf_file.mjs</t>
        </is>
      </c>
    </row>
    <row r="33">
      <c r="A33" s="4" t="inlineStr">
        <is>
          <t>D-06</t>
        </is>
      </c>
      <c r="B33" s="4" t="inlineStr">
        <is>
          <t>Design</t>
        </is>
      </c>
      <c r="C33" s="4" t="inlineStr">
        <is>
          <t>25-year CUF justification</t>
        </is>
      </c>
      <c r="D33" s="4" t="inlineStr">
        <is>
          <t>Why one year's profile stands for 25: the source and period of the data, P50/P90, degradation per year, inter-annual variability, the typical year method; a note in the bid pack</t>
        </is>
      </c>
      <c r="E33" s="4" t="inlineStr">
        <is>
          <t>Design</t>
        </is>
      </c>
      <c r="F33" s="4" t="inlineStr">
        <is>
          <t>Core</t>
        </is>
      </c>
      <c r="G33" s="4" t="inlineStr">
        <is>
          <t>Live</t>
        </is>
      </c>
      <c r="H33" s="4" t="inlineStr">
        <is>
          <t>P1</t>
        </is>
      </c>
      <c r="I33" s="4" t="inlineStr">
        <is>
          <t>Panel on the profile with P50/P90 inputs; Word file from POST /api/plant/justification</t>
        </is>
      </c>
    </row>
    <row r="34">
      <c r="A34" s="4" t="inlineStr">
        <is>
          <t>D-07</t>
        </is>
      </c>
      <c r="B34" s="4" t="inlineStr">
        <is>
          <t>Design</t>
        </is>
      </c>
      <c r="C34" s="4" t="inlineStr">
        <is>
          <t>Losses to the billing meter</t>
        </is>
      </c>
      <c r="D34" s="4" t="inlineStr">
        <is>
          <t>Each technology's stages to the 33 kV bus with where its CUF is measured; the 33/220 kV transformer and the line</t>
        </is>
      </c>
      <c r="E34" s="4" t="inlineStr">
        <is>
          <t>Design</t>
        </is>
      </c>
      <c r="F34" s="4" t="inlineStr">
        <is>
          <t>Core</t>
        </is>
      </c>
      <c r="G34" s="4" t="inlineStr">
        <is>
          <t>Live</t>
        </is>
      </c>
      <c r="H34" s="4" t="inlineStr">
        <is>
          <t>P1</t>
        </is>
      </c>
      <c r="I34" s="4" t="inlineStr"/>
    </row>
    <row r="35">
      <c r="A35" s="4" t="inlineStr">
        <is>
          <t>D-08</t>
        </is>
      </c>
      <c r="B35" s="4" t="inlineStr">
        <is>
          <t>Design</t>
        </is>
      </c>
      <c r="C35" s="4" t="inlineStr">
        <is>
          <t>Separate sites</t>
        </is>
      </c>
      <c r="D35" s="4" t="inlineStr">
        <is>
          <t>Solar and wind on different sites, each with its own battery; no energy between them</t>
        </is>
      </c>
      <c r="E35" s="4" t="inlineStr">
        <is>
          <t>Design</t>
        </is>
      </c>
      <c r="F35" s="4" t="inlineStr">
        <is>
          <t>Core</t>
        </is>
      </c>
      <c r="G35" s="4" t="inlineStr">
        <is>
          <t>Live</t>
        </is>
      </c>
      <c r="H35" s="4" t="inlineStr">
        <is>
          <t>P1</t>
        </is>
      </c>
      <c r="I35" s="4" t="inlineStr"/>
    </row>
    <row r="36">
      <c r="A36" s="4" t="inlineStr">
        <is>
          <t>D-09</t>
        </is>
      </c>
      <c r="B36" s="4" t="inlineStr">
        <is>
          <t>Design</t>
        </is>
      </c>
      <c r="C36" s="4" t="inlineStr">
        <is>
          <t>Co-located solar + BESS and wind + BESS</t>
        </is>
      </c>
      <c r="D36" s="4" t="inlineStr">
        <is>
          <t>Which site each battery sits on and charges from; one or two pooling stations</t>
        </is>
      </c>
      <c r="E36" s="4" t="inlineStr">
        <is>
          <t>Design</t>
        </is>
      </c>
      <c r="F36" s="4" t="inlineStr">
        <is>
          <t>Core</t>
        </is>
      </c>
      <c r="G36" s="4" t="inlineStr">
        <is>
          <t>Live</t>
        </is>
      </c>
      <c r="H36" s="4" t="inlineStr">
        <is>
          <t>P1</t>
        </is>
      </c>
      <c r="I36" s="4" t="inlineStr">
        <is>
          <t>One site (shared pooling station) or separate sites, each with its own battery and pooling station; the losses of each reach the sizing</t>
        </is>
      </c>
    </row>
    <row r="37">
      <c r="A37" s="4" t="inlineStr">
        <is>
          <t>D-10</t>
        </is>
      </c>
      <c r="B37" s="4" t="inlineStr">
        <is>
          <t>Design</t>
        </is>
      </c>
      <c r="C37" s="4" t="inlineStr">
        <is>
          <t>Site schematic (single-line)</t>
        </is>
      </c>
      <c r="D37" s="4" t="inlineStr">
        <is>
          <t>A drawing of the chosen layout: solar, wind and battery blocks, their transformers, the pooling station(s), the line to the billing meter; losses shown at each stage and summed at the pooling station</t>
        </is>
      </c>
      <c r="E37" s="4" t="inlineStr">
        <is>
          <t>Design</t>
        </is>
      </c>
      <c r="F37" s="4" t="inlineStr">
        <is>
          <t>Core</t>
        </is>
      </c>
      <c r="G37" s="4" t="inlineStr">
        <is>
          <t>Live</t>
        </is>
      </c>
      <c r="H37" s="4" t="inlineStr">
        <is>
          <t>P1</t>
        </is>
      </c>
      <c r="I37" s="4" t="inlineStr">
        <is>
          <t>bid/SiteSchematic.jsx: one or two pooling stations with their transformer and line losses; inputs beside the drawing</t>
        </is>
      </c>
    </row>
    <row r="38">
      <c r="A38" s="4" t="inlineStr">
        <is>
          <t>D-11</t>
        </is>
      </c>
      <c r="B38" s="4" t="inlineStr">
        <is>
          <t>Design</t>
        </is>
      </c>
      <c r="C38" s="4" t="inlineStr">
        <is>
          <t>Deviation settlement (DSM) per CERC</t>
        </is>
      </c>
      <c r="D38" s="4" t="inlineStr">
        <is>
          <t>Forecast error on solar and wind by block, the DSM charges under the CERC DSM Regulations (bands by % deviation, the RE schedule revision allowance), a forecasting accuracy input, the cost in the model</t>
        </is>
      </c>
      <c r="E38" s="4" t="inlineStr">
        <is>
          <t>Design</t>
        </is>
      </c>
      <c r="F38" s="4" t="inlineStr">
        <is>
          <t>Core</t>
        </is>
      </c>
      <c r="G38" s="4" t="inlineStr">
        <is>
          <t>Live</t>
        </is>
      </c>
      <c r="H38" s="4" t="inlineStr">
        <is>
          <t>P1</t>
        </is>
      </c>
      <c r="I38" s="4" t="inlineStr">
        <is>
          <t>src/dsm: forecast-error distribution, tolerance band by year, X factor trajectory, steps beyond the band; norms editable; verify against the notified text</t>
        </is>
      </c>
    </row>
    <row r="39">
      <c r="A39" s="4" t="inlineStr">
        <is>
          <t>D-12</t>
        </is>
      </c>
      <c r="B39" s="4" t="inlineStr">
        <is>
          <t>Design</t>
        </is>
      </c>
      <c r="C39" s="4" t="inlineStr">
        <is>
          <t>Degradation and augmentation</t>
        </is>
      </c>
      <c r="D39" s="4" t="inlineStr">
        <is>
          <t>Solar, wind and battery degradation; battery augmentation annual or one-time with price decline</t>
        </is>
      </c>
      <c r="E39" s="4" t="inlineStr">
        <is>
          <t>Design</t>
        </is>
      </c>
      <c r="F39" s="4" t="inlineStr">
        <is>
          <t>Core</t>
        </is>
      </c>
      <c r="G39" s="4" t="inlineStr">
        <is>
          <t>Live</t>
        </is>
      </c>
      <c r="H39" s="4" t="inlineStr">
        <is>
          <t>P1</t>
        </is>
      </c>
      <c r="I39" s="4" t="inlineStr"/>
    </row>
    <row r="40">
      <c r="A40" s="4" t="inlineStr">
        <is>
          <t>S-01</t>
        </is>
      </c>
      <c r="B40" s="4" t="inlineStr">
        <is>
          <t>Sizing</t>
        </is>
      </c>
      <c r="C40" s="4" t="inlineStr">
        <is>
          <t>Sizing engine</t>
        </is>
      </c>
      <c r="D40" s="4" t="inlineStr">
        <is>
          <t>The least-tariff plant that meets every tender condition over the PPA term; a seed from the last sizing</t>
        </is>
      </c>
      <c r="E40" s="4" t="inlineStr">
        <is>
          <t>Design</t>
        </is>
      </c>
      <c r="F40" s="4" t="inlineStr">
        <is>
          <t>Core</t>
        </is>
      </c>
      <c r="G40" s="4" t="inlineStr">
        <is>
          <t>Live</t>
        </is>
      </c>
      <c r="H40" s="4" t="inlineStr">
        <is>
          <t>P1</t>
        </is>
      </c>
      <c r="I40" s="4" t="inlineStr">
        <is>
          <t>Proprietary; described by its interface only</t>
        </is>
      </c>
    </row>
    <row r="41">
      <c r="A41" s="4" t="inlineStr">
        <is>
          <t>S-02</t>
        </is>
      </c>
      <c r="B41" s="4" t="inlineStr">
        <is>
          <t>Sizing</t>
        </is>
      </c>
      <c r="C41" s="4" t="inlineStr">
        <is>
          <t>Tender supply rules</t>
        </is>
      </c>
      <c r="D41" s="4" t="inlineStr">
        <is>
          <t>Annual, monthly and time-block floors (every 15-minute block), peak hours as planned (costliest IEX hours, any of the window, evening), shortfall at a penalty or hard</t>
        </is>
      </c>
      <c r="E41" s="4" t="inlineStr">
        <is>
          <t>Projects</t>
        </is>
      </c>
      <c r="F41" s="4" t="inlineStr">
        <is>
          <t>Core</t>
        </is>
      </c>
      <c r="G41" s="4" t="inlineStr">
        <is>
          <t>Live</t>
        </is>
      </c>
      <c r="H41" s="4" t="inlineStr">
        <is>
          <t>P1</t>
        </is>
      </c>
      <c r="I41" s="4" t="inlineStr"/>
    </row>
    <row r="42">
      <c r="A42" s="4" t="inlineStr">
        <is>
          <t>S-03</t>
        </is>
      </c>
      <c r="B42" s="4" t="inlineStr">
        <is>
          <t>Sizing</t>
        </is>
      </c>
      <c r="C42" s="4" t="inlineStr">
        <is>
          <t>Market sale of surplus</t>
        </is>
      </c>
      <c r="D42" s="4" t="inlineStr">
        <is>
          <t>Sales on IEX (hourly DAM/G-DAM prices) or at a flat price; PPA first; buyer's first right at a share of the tariff</t>
        </is>
      </c>
      <c r="E42" s="4" t="inlineStr">
        <is>
          <t>Projects</t>
        </is>
      </c>
      <c r="F42" s="4" t="inlineStr">
        <is>
          <t>Core</t>
        </is>
      </c>
      <c r="G42" s="4" t="inlineStr">
        <is>
          <t>Live</t>
        </is>
      </c>
      <c r="H42" s="4" t="inlineStr">
        <is>
          <t>P1</t>
        </is>
      </c>
      <c r="I42" s="4" t="inlineStr"/>
    </row>
    <row r="43">
      <c r="A43" s="4" t="inlineStr">
        <is>
          <t>S-04</t>
        </is>
      </c>
      <c r="B43" s="4" t="inlineStr">
        <is>
          <t>Sizing</t>
        </is>
      </c>
      <c r="C43" s="4" t="inlineStr">
        <is>
          <t>15-minute dispatch, every PPA year</t>
        </is>
      </c>
      <c r="D43" s="4" t="inlineStr">
        <is>
          <t>Block-wise dispatch with ramp and minimum, every floor checked, CSV/ZIP and Excel</t>
        </is>
      </c>
      <c r="E43" s="4" t="inlineStr">
        <is>
          <t>Design</t>
        </is>
      </c>
      <c r="F43" s="4" t="inlineStr">
        <is>
          <t>Core</t>
        </is>
      </c>
      <c r="G43" s="4" t="inlineStr">
        <is>
          <t>Live</t>
        </is>
      </c>
      <c r="H43" s="4" t="inlineStr">
        <is>
          <t>P1</t>
        </is>
      </c>
      <c r="I43" s="4" t="inlineStr"/>
    </row>
    <row r="44">
      <c r="A44" s="4" t="inlineStr">
        <is>
          <t>S-05</t>
        </is>
      </c>
      <c r="B44" s="4" t="inlineStr">
        <is>
          <t>Sizing</t>
        </is>
      </c>
      <c r="C44" s="4" t="inlineStr">
        <is>
          <t>Dispatch sheets in Excel</t>
        </is>
      </c>
      <c r="D44" s="4" t="inlineStr">
        <is>
          <t>Every modelled year hour by hour as formulas; the yearly energy of the model comes from them</t>
        </is>
      </c>
      <c r="E44" s="4" t="inlineStr">
        <is>
          <t>Finance</t>
        </is>
      </c>
      <c r="F44" s="4" t="inlineStr">
        <is>
          <t>Core</t>
        </is>
      </c>
      <c r="G44" s="4" t="inlineStr">
        <is>
          <t>Live</t>
        </is>
      </c>
      <c r="H44" s="4" t="inlineStr">
        <is>
          <t>P1</t>
        </is>
      </c>
      <c r="I44" s="4" t="inlineStr"/>
    </row>
    <row r="45">
      <c r="A45" s="4" t="inlineStr">
        <is>
          <t>S-06</t>
        </is>
      </c>
      <c r="B45" s="4" t="inlineStr">
        <is>
          <t>Sizing</t>
        </is>
      </c>
      <c r="C45" s="4" t="inlineStr">
        <is>
          <t>Compliance table and hourly charts</t>
        </is>
      </c>
      <c r="D45" s="4" t="inlineStr">
        <is>
          <t>Floors met per year, the week's dispatch, the per-hour Sankey of where energy went</t>
        </is>
      </c>
      <c r="E45" s="4" t="inlineStr">
        <is>
          <t>All</t>
        </is>
      </c>
      <c r="F45" s="4" t="inlineStr">
        <is>
          <t>Core</t>
        </is>
      </c>
      <c r="G45" s="4" t="inlineStr">
        <is>
          <t>Live</t>
        </is>
      </c>
      <c r="H45" s="4" t="inlineStr">
        <is>
          <t>P1</t>
        </is>
      </c>
      <c r="I45" s="4" t="inlineStr"/>
    </row>
    <row r="46">
      <c r="A46" s="4" t="inlineStr">
        <is>
          <t>F-01</t>
        </is>
      </c>
      <c r="B46" s="4" t="inlineStr">
        <is>
          <t>Finance</t>
        </is>
      </c>
      <c r="C46" s="4" t="inlineStr">
        <is>
          <t>Financing inputs (Finance tab)</t>
        </is>
      </c>
      <c r="D46" s="4" t="inlineStr">
        <is>
          <t>Target equity IRR, debt share, rate, tenor, repayment, tax, depreciation, O&amp;M escalation, insurance, receivables, discount rate</t>
        </is>
      </c>
      <c r="E46" s="4" t="inlineStr">
        <is>
          <t>Finance</t>
        </is>
      </c>
      <c r="F46" s="4" t="inlineStr">
        <is>
          <t>Core</t>
        </is>
      </c>
      <c r="G46" s="4" t="inlineStr">
        <is>
          <t>Live</t>
        </is>
      </c>
      <c r="H46" s="4" t="inlineStr">
        <is>
          <t>P1</t>
        </is>
      </c>
      <c r="I46" s="4" t="inlineStr">
        <is>
          <t>The Finance inputs step of the SECI flow (and the Financials step of every tab)</t>
        </is>
      </c>
    </row>
    <row r="47">
      <c r="A47" s="4" t="inlineStr">
        <is>
          <t>F-02</t>
        </is>
      </c>
      <c r="B47" s="4" t="inlineStr">
        <is>
          <t>Finance</t>
        </is>
      </c>
      <c r="C47" s="4" t="inlineStr">
        <is>
          <t>25-year financial model</t>
        </is>
      </c>
      <c r="D47" s="4" t="inlineStr">
        <is>
          <t>Revenue, penalties, O&amp;M, insurance, augmentation, depreciation (WDV/SLM), tax with loss carry-forward, debt, DSCR, IRRs, LCOE, payback</t>
        </is>
      </c>
      <c r="E47" s="4" t="inlineStr">
        <is>
          <t>Finance</t>
        </is>
      </c>
      <c r="F47" s="4" t="inlineStr">
        <is>
          <t>Core</t>
        </is>
      </c>
      <c r="G47" s="4" t="inlineStr">
        <is>
          <t>Live</t>
        </is>
      </c>
      <c r="H47" s="4" t="inlineStr">
        <is>
          <t>P1</t>
        </is>
      </c>
      <c r="I47" s="4" t="inlineStr"/>
    </row>
    <row r="48">
      <c r="A48" s="4" t="inlineStr">
        <is>
          <t>F-03</t>
        </is>
      </c>
      <c r="B48" s="4" t="inlineStr">
        <is>
          <t>Finance</t>
        </is>
      </c>
      <c r="C48" s="4" t="inlineStr">
        <is>
          <t>Tariff for the target IRR</t>
        </is>
      </c>
      <c r="D48" s="4" t="inlineStr">
        <is>
          <t>The tariff that gives the target equity IRR; a quoted tariff's equity and project IRR with a warning below target</t>
        </is>
      </c>
      <c r="E48" s="4" t="inlineStr">
        <is>
          <t>Finance</t>
        </is>
      </c>
      <c r="F48" s="4" t="inlineStr">
        <is>
          <t>Core</t>
        </is>
      </c>
      <c r="G48" s="4" t="inlineStr">
        <is>
          <t>Live</t>
        </is>
      </c>
      <c r="H48" s="4" t="inlineStr">
        <is>
          <t>P1</t>
        </is>
      </c>
      <c r="I48" s="4" t="inlineStr"/>
    </row>
    <row r="49">
      <c r="A49" s="4" t="inlineStr">
        <is>
          <t>F-04</t>
        </is>
      </c>
      <c r="B49" s="4" t="inlineStr">
        <is>
          <t>Finance</t>
        </is>
      </c>
      <c r="C49" s="4" t="inlineStr">
        <is>
          <t>Traceable model</t>
        </is>
      </c>
      <c r="D49" s="4" t="inlineStr">
        <is>
          <t>Every number's formula, precedents, dependents and the inputs it rests on, in the app</t>
        </is>
      </c>
      <c r="E49" s="4" t="inlineStr">
        <is>
          <t>Finance</t>
        </is>
      </c>
      <c r="F49" s="4" t="inlineStr">
        <is>
          <t>Core</t>
        </is>
      </c>
      <c r="G49" s="4" t="inlineStr">
        <is>
          <t>Live</t>
        </is>
      </c>
      <c r="H49" s="4" t="inlineStr">
        <is>
          <t>P1</t>
        </is>
      </c>
      <c r="I49" s="4" t="inlineStr"/>
    </row>
    <row r="50">
      <c r="A50" s="4" t="inlineStr">
        <is>
          <t>F-05</t>
        </is>
      </c>
      <c r="B50" s="4" t="inlineStr">
        <is>
          <t>Finance</t>
        </is>
      </c>
      <c r="C50" s="4" t="inlineStr">
        <is>
          <t>Excel model with live formulas</t>
        </is>
      </c>
      <c r="D50" s="4" t="inlineStr">
        <is>
          <t>The whole model as Excel formulas (Live model sheet), recalculated by LibreOffice in tests to the app's numbers</t>
        </is>
      </c>
      <c r="E50" s="4" t="inlineStr">
        <is>
          <t>Finance</t>
        </is>
      </c>
      <c r="F50" s="4" t="inlineStr">
        <is>
          <t>Core</t>
        </is>
      </c>
      <c r="G50" s="4" t="inlineStr">
        <is>
          <t>Live</t>
        </is>
      </c>
      <c r="H50" s="4" t="inlineStr">
        <is>
          <t>P1</t>
        </is>
      </c>
      <c r="I50" s="4" t="inlineStr"/>
    </row>
    <row r="51">
      <c r="A51" s="4" t="inlineStr">
        <is>
          <t>F-06</t>
        </is>
      </c>
      <c r="B51" s="4" t="inlineStr">
        <is>
          <t>Finance</t>
        </is>
      </c>
      <c r="C51" s="4" t="inlineStr">
        <is>
          <t>Construction phase, monthly</t>
        </is>
      </c>
      <c r="D51" s="4" t="inlineStr">
        <is>
          <t>Monthly model from financial closure to commissioning: drawdown schedule, equity first or pro rata, capex phasing by package, commissioning in parts</t>
        </is>
      </c>
      <c r="E51" s="4" t="inlineStr">
        <is>
          <t>Finance</t>
        </is>
      </c>
      <c r="F51" s="4" t="inlineStr">
        <is>
          <t>Core</t>
        </is>
      </c>
      <c r="G51" s="4" t="inlineStr">
        <is>
          <t>Live</t>
        </is>
      </c>
      <c r="H51" s="4" t="inlineStr">
        <is>
          <t>P1</t>
        </is>
      </c>
      <c r="I51" s="4" t="inlineStr">
        <is>
          <t>Months, drawdown profile (even, S-curve, front, back), equity first or pro rata; Construction sheet in Excel. Phasing by package and commissioning in parts: not built</t>
        </is>
      </c>
    </row>
    <row r="52">
      <c r="A52" s="4" t="inlineStr">
        <is>
          <t>F-07</t>
        </is>
      </c>
      <c r="B52" s="4" t="inlineStr">
        <is>
          <t>Finance</t>
        </is>
      </c>
      <c r="C52" s="4" t="inlineStr">
        <is>
          <t>Interest during construction (IDC)</t>
        </is>
      </c>
      <c r="D52" s="4" t="inlineStr">
        <is>
          <t>IDC computed month by month from the drawdowns and the rate, capitalised into the project cost (today a % of hard cost)</t>
        </is>
      </c>
      <c r="E52" s="4" t="inlineStr">
        <is>
          <t>Finance</t>
        </is>
      </c>
      <c r="F52" s="4" t="inlineStr">
        <is>
          <t>Core</t>
        </is>
      </c>
      <c r="G52" s="4" t="inlineStr">
        <is>
          <t>Live</t>
        </is>
      </c>
      <c r="H52" s="4" t="inlineStr">
        <is>
          <t>P1</t>
        </is>
      </c>
      <c r="I52" s="4" t="inlineStr">
        <is>
          <t>Month by month on the debt drawn, capitalised as debt; 0 months keeps the pre-operative % as before</t>
        </is>
      </c>
    </row>
    <row r="53">
      <c r="A53" s="4" t="inlineStr">
        <is>
          <t>F-08</t>
        </is>
      </c>
      <c r="B53" s="4" t="inlineStr">
        <is>
          <t>Finance</t>
        </is>
      </c>
      <c r="C53" s="4" t="inlineStr">
        <is>
          <t>Operations phase, yearly</t>
        </is>
      </c>
      <c r="D53" s="4" t="inlineStr">
        <is>
          <t>The yearly model starts at commissioning (COD) with the construction balances carried in</t>
        </is>
      </c>
      <c r="E53" s="4" t="inlineStr">
        <is>
          <t>Finance</t>
        </is>
      </c>
      <c r="F53" s="4" t="inlineStr">
        <is>
          <t>Core</t>
        </is>
      </c>
      <c r="G53" s="4" t="inlineStr">
        <is>
          <t>Live</t>
        </is>
      </c>
      <c r="H53" s="4" t="inlineStr">
        <is>
          <t>P1</t>
        </is>
      </c>
      <c r="I53" s="4" t="inlineStr">
        <is>
          <t>Year 1 starts at COD with the debt (incl. IDC) and equity from the construction schedule</t>
        </is>
      </c>
    </row>
    <row r="54">
      <c r="A54" s="4" t="inlineStr">
        <is>
          <t>F-09</t>
        </is>
      </c>
      <c r="B54" s="4" t="inlineStr">
        <is>
          <t>Finance</t>
        </is>
      </c>
      <c r="C54" s="4" t="inlineStr">
        <is>
          <t>Working capital</t>
        </is>
      </c>
      <c r="D54" s="4" t="inlineStr">
        <is>
          <t>Receivables (days), O&amp;M stock, maintenance spares, DSM and penalty reserve; working capital loan with its own rate and margin; letter of credit cost</t>
        </is>
      </c>
      <c r="E54" s="4" t="inlineStr">
        <is>
          <t>Finance</t>
        </is>
      </c>
      <c r="F54" s="4" t="inlineStr">
        <is>
          <t>Core</t>
        </is>
      </c>
      <c r="G54" s="4" t="inlineStr">
        <is>
          <t>Live</t>
        </is>
      </c>
      <c r="H54" s="4" t="inlineStr">
        <is>
          <t>P1</t>
        </is>
      </c>
      <c r="I54" s="4" t="inlineStr">
        <is>
          <t>Receivable days, O&amp;M in hand (months), spares (% of O&amp;M), interest on the working capital, DSRA. DSM/penalty reserve and letter-of-credit cost: not built</t>
        </is>
      </c>
    </row>
    <row r="55">
      <c r="A55" s="4" t="inlineStr">
        <is>
          <t>F-10</t>
        </is>
      </c>
      <c r="B55" s="4" t="inlineStr">
        <is>
          <t>Finance</t>
        </is>
      </c>
      <c r="C55" s="4" t="inlineStr">
        <is>
          <t>Repayment methods</t>
        </is>
      </c>
      <c r="D55" s="4" t="inlineStr">
        <is>
          <t>Equal principal, annuity, sculpted to a target DSCR, balloon / bullet, step-up; grace period / moratorium; quarterly or yearly instalments</t>
        </is>
      </c>
      <c r="E55" s="4" t="inlineStr">
        <is>
          <t>Finance</t>
        </is>
      </c>
      <c r="F55" s="4" t="inlineStr">
        <is>
          <t>Core</t>
        </is>
      </c>
      <c r="G55" s="4" t="inlineStr">
        <is>
          <t>Live</t>
        </is>
      </c>
      <c r="H55" s="4" t="inlineStr">
        <is>
          <t>P1</t>
        </is>
      </c>
      <c r="I55" s="4" t="inlineStr">
        <is>
          <t>Equal, annuity, sculpted, balloon, bullet, step-up; moratorium; yearly, half-yearly, quarterly or monthly instalments; all as Excel formulas</t>
        </is>
      </c>
    </row>
    <row r="56">
      <c r="A56" s="4" t="inlineStr">
        <is>
          <t>F-11</t>
        </is>
      </c>
      <c r="B56" s="4" t="inlineStr">
        <is>
          <t>Finance</t>
        </is>
      </c>
      <c r="C56" s="4" t="inlineStr">
        <is>
          <t>Debt sculpting</t>
        </is>
      </c>
      <c r="D56" s="4" t="inlineStr">
        <is>
          <t>Principal shaped to hold a target DSCR each year given CFADS; minimum and average DSCR reported</t>
        </is>
      </c>
      <c r="E56" s="4" t="inlineStr">
        <is>
          <t>Finance</t>
        </is>
      </c>
      <c r="F56" s="4" t="inlineStr">
        <is>
          <t>Core</t>
        </is>
      </c>
      <c r="G56" s="4" t="inlineStr">
        <is>
          <t>Live</t>
        </is>
      </c>
      <c r="H56" s="4" t="inlineStr">
        <is>
          <t>P1</t>
        </is>
      </c>
      <c r="I56" s="4" t="inlineStr">
        <is>
          <t>Principal = CFADS ÷ target DSCR − interest each year; the last year clears the balance</t>
        </is>
      </c>
    </row>
    <row r="57">
      <c r="A57" s="4" t="inlineStr">
        <is>
          <t>F-12</t>
        </is>
      </c>
      <c r="B57" s="4" t="inlineStr">
        <is>
          <t>Finance</t>
        </is>
      </c>
      <c r="C57" s="4" t="inlineStr">
        <is>
          <t>Refinancing</t>
        </is>
      </c>
      <c r="D57" s="4" t="inlineStr">
        <is>
          <t>Refinance in a chosen year at a new rate and tenor, with fees and prepayment cost; before/after returns</t>
        </is>
      </c>
      <c r="E57" s="4" t="inlineStr">
        <is>
          <t>Finance</t>
        </is>
      </c>
      <c r="F57" s="4" t="inlineStr">
        <is>
          <t>Core</t>
        </is>
      </c>
      <c r="G57" s="4" t="inlineStr">
        <is>
          <t>Live</t>
        </is>
      </c>
      <c r="H57" s="4" t="inlineStr">
        <is>
          <t>P1</t>
        </is>
      </c>
      <c r="I57" s="4" t="inlineStr">
        <is>
          <t>Year, new rate, new tenor, fee on the balance; the schedule continues under the same method. Prepayment cost: use the fee</t>
        </is>
      </c>
    </row>
    <row r="58">
      <c r="A58" s="4" t="inlineStr">
        <is>
          <t>F-13</t>
        </is>
      </c>
      <c r="B58" s="4" t="inlineStr">
        <is>
          <t>Finance</t>
        </is>
      </c>
      <c r="C58" s="4" t="inlineStr">
        <is>
          <t>DSCR and lender's view</t>
        </is>
      </c>
      <c r="D58" s="4" t="inlineStr">
        <is>
          <t>Minimum and average DSCR, lender's IRR, DSRA, covenants flagged</t>
        </is>
      </c>
      <c r="E58" s="4" t="inlineStr">
        <is>
          <t>Finance</t>
        </is>
      </c>
      <c r="F58" s="4" t="inlineStr">
        <is>
          <t>Core</t>
        </is>
      </c>
      <c r="G58" s="4" t="inlineStr">
        <is>
          <t>Live</t>
        </is>
      </c>
      <c r="H58" s="4" t="inlineStr">
        <is>
          <t>P1</t>
        </is>
      </c>
      <c r="I58" s="4" t="inlineStr">
        <is>
          <t>Min/avg DSCR, DSRA, lender's IRR (What-if); DSCR below 1.1 flagged red. Covenant list: not built</t>
        </is>
      </c>
    </row>
    <row r="59">
      <c r="A59" s="4" t="inlineStr">
        <is>
          <t>F-14</t>
        </is>
      </c>
      <c r="B59" s="4" t="inlineStr">
        <is>
          <t>Finance</t>
        </is>
      </c>
      <c r="C59" s="4" t="inlineStr">
        <is>
          <t>Deviation settlement cost in the model</t>
        </is>
      </c>
      <c r="D59" s="4" t="inlineStr">
        <is>
          <t>The DSM charges from the Design tab as an operating cost line</t>
        </is>
      </c>
      <c r="E59" s="4" t="inlineStr">
        <is>
          <t>Finance</t>
        </is>
      </c>
      <c r="F59" s="4" t="inlineStr">
        <is>
          <t>Core</t>
        </is>
      </c>
      <c r="G59" s="4" t="inlineStr">
        <is>
          <t>Live</t>
        </is>
      </c>
      <c r="H59" s="4" t="inlineStr">
        <is>
          <t>P1</t>
        </is>
      </c>
      <c r="I59" s="4" t="inlineStr">
        <is>
          <t>DSM charges as an operating-cost line, a line in the year's tariff; in the Excel model as formulas</t>
        </is>
      </c>
    </row>
    <row r="60">
      <c r="A60" s="4" t="inlineStr">
        <is>
          <t>F-15</t>
        </is>
      </c>
      <c r="B60" s="4" t="inlineStr">
        <is>
          <t>Finance</t>
        </is>
      </c>
      <c r="C60" s="4" t="inlineStr">
        <is>
          <t>Money at stake</t>
        </is>
      </c>
      <c r="D60" s="4" t="inlineStr">
        <is>
          <t>EMD, PBG and net worth on the installed capacity</t>
        </is>
      </c>
      <c r="E60" s="4" t="inlineStr">
        <is>
          <t>Finance</t>
        </is>
      </c>
      <c r="F60" s="4" t="inlineStr">
        <is>
          <t>Core</t>
        </is>
      </c>
      <c r="G60" s="4" t="inlineStr">
        <is>
          <t>Live</t>
        </is>
      </c>
      <c r="H60" s="4" t="inlineStr">
        <is>
          <t>P1</t>
        </is>
      </c>
      <c r="I60" s="4" t="inlineStr">
        <is>
          <t>Per tender pack</t>
        </is>
      </c>
    </row>
    <row r="61">
      <c r="A61" s="4" t="inlineStr">
        <is>
          <t>W-01</t>
        </is>
      </c>
      <c r="B61" s="4" t="inlineStr">
        <is>
          <t>What-if</t>
        </is>
      </c>
      <c r="C61" s="4" t="inlineStr">
        <is>
          <t>What-if after sizing</t>
        </is>
      </c>
      <c r="D61" s="4" t="inlineStr">
        <is>
          <t>Opens on the sized plant: the optimum as the base case, every input as a lever</t>
        </is>
      </c>
      <c r="E61" s="4" t="inlineStr">
        <is>
          <t>All</t>
        </is>
      </c>
      <c r="F61" s="4" t="inlineStr">
        <is>
          <t>Core</t>
        </is>
      </c>
      <c r="G61" s="4" t="inlineStr">
        <is>
          <t>Live</t>
        </is>
      </c>
      <c r="H61" s="4" t="inlineStr">
        <is>
          <t>P1</t>
        </is>
      </c>
      <c r="I61" s="4" t="inlineStr">
        <is>
          <t>The What-if step of the SECI flow starts from the sized plant and every input of the bid</t>
        </is>
      </c>
    </row>
    <row r="62">
      <c r="A62" s="4" t="inlineStr">
        <is>
          <t>W-02</t>
        </is>
      </c>
      <c r="B62" s="4" t="inlineStr">
        <is>
          <t>What-if</t>
        </is>
      </c>
      <c r="C62" s="4" t="inlineStr">
        <is>
          <t>Tariff levers on bid day</t>
        </is>
      </c>
      <c r="D62" s="4" t="inlineStr">
        <is>
          <t>Set a tariff and see which levers reach it: cost, CUF, financing, IRR, storage, sale; each lever's effect on the tariff and the IRR; instant</t>
        </is>
      </c>
      <c r="E62" s="4" t="inlineStr">
        <is>
          <t>Management</t>
        </is>
      </c>
      <c r="F62" s="4" t="inlineStr">
        <is>
          <t>Core</t>
        </is>
      </c>
      <c r="G62" s="4" t="inlineStr">
        <is>
          <t>Live</t>
        </is>
      </c>
      <c r="H62" s="4" t="inlineStr">
        <is>
          <t>P1</t>
        </is>
      </c>
      <c r="I62" s="4" t="inlineStr">
        <is>
          <t>whatif/levers.js: each lever's tariff a step up and down, ₹/kWh per step, the move of that lever alone to reach the tariff wanted; Apply</t>
        </is>
      </c>
    </row>
    <row r="63">
      <c r="A63" s="4" t="inlineStr">
        <is>
          <t>W-03</t>
        </is>
      </c>
      <c r="B63" s="4" t="inlineStr">
        <is>
          <t>What-if</t>
        </is>
      </c>
      <c r="C63" s="4" t="inlineStr">
        <is>
          <t>Sensitivity table</t>
        </is>
      </c>
      <c r="D63" s="4" t="inlineStr">
        <is>
          <t>One-way and two-way sensitivities (tariff vs capex, CUF, rate) with the base case marked</t>
        </is>
      </c>
      <c r="E63" s="4" t="inlineStr">
        <is>
          <t>Finance</t>
        </is>
      </c>
      <c r="F63" s="4" t="inlineStr">
        <is>
          <t>Core</t>
        </is>
      </c>
      <c r="G63" s="4" t="inlineStr">
        <is>
          <t>Build</t>
        </is>
      </c>
      <c r="H63" s="4" t="inlineStr">
        <is>
          <t>P2</t>
        </is>
      </c>
      <c r="I63" s="4" t="inlineStr"/>
    </row>
    <row r="64">
      <c r="A64" s="4" t="inlineStr">
        <is>
          <t>W-04</t>
        </is>
      </c>
      <c r="B64" s="4" t="inlineStr">
        <is>
          <t>What-if</t>
        </is>
      </c>
      <c r="C64" s="4" t="inlineStr">
        <is>
          <t>Scenario compare</t>
        </is>
      </c>
      <c r="D64" s="4" t="inlineStr">
        <is>
          <t>Saved what-if cases side by side with the base</t>
        </is>
      </c>
      <c r="E64" s="4" t="inlineStr">
        <is>
          <t>All</t>
        </is>
      </c>
      <c r="F64" s="4" t="inlineStr">
        <is>
          <t>Core</t>
        </is>
      </c>
      <c r="G64" s="4" t="inlineStr">
        <is>
          <t>Extend</t>
        </is>
      </c>
      <c r="H64" s="4" t="inlineStr">
        <is>
          <t>P2</t>
        </is>
      </c>
      <c r="I64" s="4" t="inlineStr">
        <is>
          <t>Scenario compare exists for saved bids</t>
        </is>
      </c>
    </row>
    <row r="65">
      <c r="A65" s="4" t="inlineStr">
        <is>
          <t>E-01</t>
        </is>
      </c>
      <c r="B65" s="4" t="inlineStr">
        <is>
          <t>Evidence</t>
        </is>
      </c>
      <c r="C65" s="4" t="inlineStr">
        <is>
          <t>Evidence upload per input</t>
        </is>
      </c>
      <c r="D65" s="4" t="inlineStr">
        <is>
          <t>Any input (CUF, costs, financing, conditions) carries files or links as evidence: quotes, reports, data sheets; who uploaded it and when</t>
        </is>
      </c>
      <c r="E65" s="4" t="inlineStr">
        <is>
          <t>All</t>
        </is>
      </c>
      <c r="F65" s="4" t="inlineStr">
        <is>
          <t>Core</t>
        </is>
      </c>
      <c r="G65" s="4" t="inlineStr">
        <is>
          <t>Live</t>
        </is>
      </c>
      <c r="H65" s="4" t="inlineStr">
        <is>
          <t>P1</t>
        </is>
      </c>
      <c r="I65" s="4" t="inlineStr">
        <is>
          <t>Paperclip on every box: files, links, notes with who and when; migration 012</t>
        </is>
      </c>
    </row>
    <row r="66">
      <c r="A66" s="4" t="inlineStr">
        <is>
          <t>E-02</t>
        </is>
      </c>
      <c r="B66" s="4" t="inlineStr">
        <is>
          <t>Evidence</t>
        </is>
      </c>
      <c r="C66" s="4" t="inlineStr">
        <is>
          <t>Evidence status on every box</t>
        </is>
      </c>
      <c r="D66" s="4" t="inlineStr">
        <is>
          <t>Each box shows filled / evidenced / signed off; the bid pack lists the evidence register</t>
        </is>
      </c>
      <c r="E66" s="4" t="inlineStr">
        <is>
          <t>All</t>
        </is>
      </c>
      <c r="F66" s="4" t="inlineStr">
        <is>
          <t>Core</t>
        </is>
      </c>
      <c r="G66" s="4" t="inlineStr">
        <is>
          <t>Live</t>
        </is>
      </c>
      <c r="H66" s="4" t="inlineStr">
        <is>
          <t>P1</t>
        </is>
      </c>
      <c r="I66" s="4" t="inlineStr">
        <is>
          <t>Faint / with count / signed off at this value / signed at an older value; the register as CSV</t>
        </is>
      </c>
    </row>
    <row r="67">
      <c r="A67" s="4" t="inlineStr">
        <is>
          <t>E-03</t>
        </is>
      </c>
      <c r="B67" s="4" t="inlineStr">
        <is>
          <t>Evidence</t>
        </is>
      </c>
      <c r="C67" s="4" t="inlineStr">
        <is>
          <t>Assignments</t>
        </is>
      </c>
      <c r="D67" s="4" t="inlineStr">
        <is>
          <t>A data point assigned to a team or person; answer with a value, note or file; accept or return into the bid as a new version</t>
        </is>
      </c>
      <c r="E67" s="4" t="inlineStr">
        <is>
          <t>All</t>
        </is>
      </c>
      <c r="F67" s="4" t="inlineStr">
        <is>
          <t>Core</t>
        </is>
      </c>
      <c r="G67" s="4" t="inlineStr">
        <is>
          <t>Live</t>
        </is>
      </c>
      <c r="H67" s="4" t="inlineStr">
        <is>
          <t>P1</t>
        </is>
      </c>
      <c r="I67" s="4" t="inlineStr"/>
    </row>
    <row r="68">
      <c r="A68" s="4" t="inlineStr">
        <is>
          <t>E-04</t>
        </is>
      </c>
      <c r="B68" s="4" t="inlineStr">
        <is>
          <t>Evidence</t>
        </is>
      </c>
      <c r="C68" s="4" t="inlineStr">
        <is>
          <t>Pings from any box (@mentions)</t>
        </is>
      </c>
      <c r="D68" s="4" t="inlineStr">
        <is>
          <t>A thread on every input box; mention a teammate; reply with a value; Fill in</t>
        </is>
      </c>
      <c r="E68" s="4" t="inlineStr">
        <is>
          <t>All</t>
        </is>
      </c>
      <c r="F68" s="4" t="inlineStr">
        <is>
          <t>Core</t>
        </is>
      </c>
      <c r="G68" s="4" t="inlineStr">
        <is>
          <t>Live</t>
        </is>
      </c>
      <c r="H68" s="4" t="inlineStr">
        <is>
          <t>P1</t>
        </is>
      </c>
      <c r="I68" s="4" t="inlineStr"/>
    </row>
    <row r="69">
      <c r="A69" s="4" t="inlineStr">
        <is>
          <t>E-05</t>
        </is>
      </c>
      <c r="B69" s="4" t="inlineStr">
        <is>
          <t>Evidence</t>
        </is>
      </c>
      <c r="C69" s="4" t="inlineStr">
        <is>
          <t>Team setup</t>
        </is>
      </c>
      <c r="D69" s="4" t="inlineStr">
        <is>
          <t>People, teams, super admin, titles, the tabs they cover</t>
        </is>
      </c>
      <c r="E69" s="4" t="inlineStr">
        <is>
          <t>Management</t>
        </is>
      </c>
      <c r="F69" s="4" t="inlineStr">
        <is>
          <t>Core</t>
        </is>
      </c>
      <c r="G69" s="4" t="inlineStr">
        <is>
          <t>Live</t>
        </is>
      </c>
      <c r="H69" s="4" t="inlineStr">
        <is>
          <t>P1</t>
        </is>
      </c>
      <c r="I69" s="4" t="inlineStr"/>
    </row>
    <row r="70">
      <c r="A70" s="4" t="inlineStr">
        <is>
          <t>E-06</t>
        </is>
      </c>
      <c r="B70" s="4" t="inlineStr">
        <is>
          <t>Evidence</t>
        </is>
      </c>
      <c r="C70" s="4" t="inlineStr">
        <is>
          <t>Activity and audit log</t>
        </is>
      </c>
      <c r="D70" s="4" t="inlineStr">
        <is>
          <t>Every sizing, export and change logged with user and time; exportable</t>
        </is>
      </c>
      <c r="E70" s="4" t="inlineStr">
        <is>
          <t>IT</t>
        </is>
      </c>
      <c r="F70" s="4" t="inlineStr">
        <is>
          <t>Core</t>
        </is>
      </c>
      <c r="G70" s="4" t="inlineStr">
        <is>
          <t>Extend</t>
        </is>
      </c>
      <c r="H70" s="4" t="inlineStr">
        <is>
          <t>P2</t>
        </is>
      </c>
      <c r="I70" s="4" t="inlineStr">
        <is>
          <t>Activity log today; export to build</t>
        </is>
      </c>
    </row>
    <row r="71">
      <c r="A71" s="4" t="inlineStr">
        <is>
          <t>E-07</t>
        </is>
      </c>
      <c r="B71" s="4" t="inlineStr">
        <is>
          <t>Evidence</t>
        </is>
      </c>
      <c r="C71" s="4" t="inlineStr">
        <is>
          <t>Email notifications</t>
        </is>
      </c>
      <c r="D71" s="4" t="inlineStr">
        <is>
          <t>Assignments and pings by email through the client's SMTP</t>
        </is>
      </c>
      <c r="E71" s="4" t="inlineStr">
        <is>
          <t>All</t>
        </is>
      </c>
      <c r="F71" s="4" t="inlineStr">
        <is>
          <t>Core</t>
        </is>
      </c>
      <c r="G71" s="4" t="inlineStr">
        <is>
          <t>Live</t>
        </is>
      </c>
      <c r="H71" s="4" t="inlineStr">
        <is>
          <t>P2</t>
        </is>
      </c>
      <c r="I71" s="4" t="inlineStr"/>
    </row>
    <row r="72">
      <c r="A72" s="4" t="inlineStr">
        <is>
          <t>P-01</t>
        </is>
      </c>
      <c r="B72" s="4" t="inlineStr">
        <is>
          <t>Platform</t>
        </is>
      </c>
      <c r="C72" s="4" t="inlineStr">
        <is>
          <t>Users, sign-in and tab access</t>
        </is>
      </c>
      <c r="D72" s="4" t="inlineStr">
        <is>
          <t>Accounts, administrator, tabs granted per user</t>
        </is>
      </c>
      <c r="E72" s="4" t="inlineStr">
        <is>
          <t>IT</t>
        </is>
      </c>
      <c r="F72" s="4" t="inlineStr">
        <is>
          <t>Both</t>
        </is>
      </c>
      <c r="G72" s="4" t="inlineStr">
        <is>
          <t>Live</t>
        </is>
      </c>
      <c r="H72" s="4" t="inlineStr">
        <is>
          <t>P1</t>
        </is>
      </c>
      <c r="I72" s="4" t="inlineStr"/>
    </row>
    <row r="73">
      <c r="A73" s="4" t="inlineStr">
        <is>
          <t>P-02</t>
        </is>
      </c>
      <c r="B73" s="4" t="inlineStr">
        <is>
          <t>Platform</t>
        </is>
      </c>
      <c r="C73" s="4" t="inlineStr">
        <is>
          <t>Enterprise sign-in (SSO)</t>
        </is>
      </c>
      <c r="D73" s="4" t="inlineStr">
        <is>
          <t>The client's directory (SAML/OIDC or LDAP) for sign-in</t>
        </is>
      </c>
      <c r="E73" s="4" t="inlineStr">
        <is>
          <t>IT</t>
        </is>
      </c>
      <c r="F73" s="4" t="inlineStr">
        <is>
          <t>Core</t>
        </is>
      </c>
      <c r="G73" s="4" t="inlineStr">
        <is>
          <t>Build</t>
        </is>
      </c>
      <c r="H73" s="4" t="inlineStr">
        <is>
          <t>P2</t>
        </is>
      </c>
      <c r="I73" s="4" t="inlineStr"/>
    </row>
    <row r="74">
      <c r="A74" s="4" t="inlineStr">
        <is>
          <t>P-03</t>
        </is>
      </c>
      <c r="B74" s="4" t="inlineStr">
        <is>
          <t>Platform</t>
        </is>
      </c>
      <c r="C74" s="4" t="inlineStr">
        <is>
          <t>Air-gapped installation</t>
        </is>
      </c>
      <c r="D74" s="4" t="inlineStr">
        <is>
          <t>Everything as an offline bundle: images, database, no outbound traffic from the core; verified checksums</t>
        </is>
      </c>
      <c r="E74" s="4" t="inlineStr">
        <is>
          <t>IT</t>
        </is>
      </c>
      <c r="F74" s="4" t="inlineStr">
        <is>
          <t>Core</t>
        </is>
      </c>
      <c r="G74" s="4" t="inlineStr">
        <is>
          <t>Live</t>
        </is>
      </c>
      <c r="H74" s="4" t="inlineStr">
        <is>
          <t>P1</t>
        </is>
      </c>
      <c r="I74" s="4" t="inlineStr">
        <is>
          <t>deploy/enterprise: images.tar, compose overlay with internal networks, install.sh; not run against a Docker daemon in this session</t>
        </is>
      </c>
    </row>
    <row r="75">
      <c r="A75" s="4" t="inlineStr">
        <is>
          <t>P-04</t>
        </is>
      </c>
      <c r="B75" s="4" t="inlineStr">
        <is>
          <t>Platform</t>
        </is>
      </c>
      <c r="C75" s="4" t="inlineStr">
        <is>
          <t>Patches under AMC</t>
        </is>
      </c>
      <c r="D75" s="4" t="inlineStr">
        <is>
          <t>Signed offline patch bundles from jouleWise, applied by the client's IT with one command, with health check and rollback; a changelog per patch</t>
        </is>
      </c>
      <c r="E75" s="4" t="inlineStr">
        <is>
          <t>IT</t>
        </is>
      </c>
      <c r="F75" s="4" t="inlineStr">
        <is>
          <t>Core</t>
        </is>
      </c>
      <c r="G75" s="4" t="inlineStr">
        <is>
          <t>Live</t>
        </is>
      </c>
      <c r="H75" s="4" t="inlineStr">
        <is>
          <t>P1</t>
        </is>
      </c>
      <c r="I75" s="4" t="inlineStr">
        <is>
          <t>tenderos-patch verify/apply/rollback/status on signed bundles (manifest + ECDSA signature); apply/rollback not exercised against a Docker daemon here</t>
        </is>
      </c>
    </row>
    <row r="76">
      <c r="A76" s="4" t="inlineStr">
        <is>
          <t>P-05</t>
        </is>
      </c>
      <c r="B76" s="4" t="inlineStr">
        <is>
          <t>Platform</t>
        </is>
      </c>
      <c r="C76" s="4" t="inlineStr">
        <is>
          <t>Backups and restore</t>
        </is>
      </c>
      <c r="D76" s="4" t="inlineStr">
        <is>
          <t>Database and files backed up on a schedule; restore tested</t>
        </is>
      </c>
      <c r="E76" s="4" t="inlineStr">
        <is>
          <t>IT</t>
        </is>
      </c>
      <c r="F76" s="4" t="inlineStr">
        <is>
          <t>Core</t>
        </is>
      </c>
      <c r="G76" s="4" t="inlineStr">
        <is>
          <t>Live</t>
        </is>
      </c>
      <c r="H76" s="4" t="inlineStr">
        <is>
          <t>P1</t>
        </is>
      </c>
      <c r="I76" s="4" t="inlineStr">
        <is>
          <t>deploy/backup.sh today</t>
        </is>
      </c>
    </row>
    <row r="77">
      <c r="A77" s="4" t="inlineStr">
        <is>
          <t>P-06</t>
        </is>
      </c>
      <c r="B77" s="4" t="inlineStr">
        <is>
          <t>Platform</t>
        </is>
      </c>
      <c r="C77" s="4" t="inlineStr">
        <is>
          <t>HTTPS and firewall</t>
        </is>
      </c>
      <c r="D77" s="4" t="inlineStr">
        <is>
          <t>TLS at the edge; allowlists</t>
        </is>
      </c>
      <c r="E77" s="4" t="inlineStr">
        <is>
          <t>IT</t>
        </is>
      </c>
      <c r="F77" s="4" t="inlineStr">
        <is>
          <t>Both</t>
        </is>
      </c>
      <c r="G77" s="4" t="inlineStr">
        <is>
          <t>Live</t>
        </is>
      </c>
      <c r="H77" s="4" t="inlineStr">
        <is>
          <t>P1</t>
        </is>
      </c>
      <c r="I77" s="4" t="inlineStr"/>
    </row>
    <row r="78">
      <c r="A78" s="4" t="inlineStr">
        <is>
          <t>P-07</t>
        </is>
      </c>
      <c r="B78" s="4" t="inlineStr">
        <is>
          <t>Platform</t>
        </is>
      </c>
      <c r="C78" s="4" t="inlineStr">
        <is>
          <t>Day and night mode</t>
        </is>
      </c>
      <c r="D78" s="4" t="inlineStr">
        <is>
          <t>Both modes, remembered per browser</t>
        </is>
      </c>
      <c r="E78" s="4" t="inlineStr">
        <is>
          <t>All</t>
        </is>
      </c>
      <c r="F78" s="4" t="inlineStr">
        <is>
          <t>Both</t>
        </is>
      </c>
      <c r="G78" s="4" t="inlineStr">
        <is>
          <t>Live</t>
        </is>
      </c>
      <c r="H78" s="4" t="inlineStr">
        <is>
          <t>P3</t>
        </is>
      </c>
      <c r="I78" s="4" t="inlineStr"/>
    </row>
    <row r="79">
      <c r="A79" s="4" t="inlineStr">
        <is>
          <t>P-08</t>
        </is>
      </c>
      <c r="B79" s="4" t="inlineStr">
        <is>
          <t>Platform</t>
        </is>
      </c>
      <c r="C79" s="4" t="inlineStr">
        <is>
          <t>Demo mode</t>
        </is>
      </c>
      <c r="D79" s="4" t="inlineStr">
        <is>
          <t>No sign-in; View as to switch seats</t>
        </is>
      </c>
      <c r="E79" s="4" t="inlineStr">
        <is>
          <t>IT</t>
        </is>
      </c>
      <c r="F79" s="4" t="inlineStr">
        <is>
          <t>DMZ</t>
        </is>
      </c>
      <c r="G79" s="4" t="inlineStr">
        <is>
          <t>Live</t>
        </is>
      </c>
      <c r="H79" s="4" t="inlineStr">
        <is>
          <t>P3</t>
        </is>
      </c>
      <c r="I79" s="4" t="inlineStr">
        <is>
          <t>Not in the core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5" t="inlineStr">
        <is>
          <t>Features by area and status</t>
        </is>
      </c>
    </row>
    <row r="2">
      <c r="A2" s="6" t="inlineStr">
        <is>
          <t>Area</t>
        </is>
      </c>
      <c r="B2" s="6" t="inlineStr">
        <is>
          <t>Live</t>
        </is>
      </c>
      <c r="C2" s="6" t="inlineStr">
        <is>
          <t>Extend</t>
        </is>
      </c>
      <c r="D2" s="6" t="inlineStr">
        <is>
          <t>Build</t>
        </is>
      </c>
      <c r="E2" s="6" t="inlineStr">
        <is>
          <t>Total</t>
        </is>
      </c>
    </row>
    <row r="3">
      <c r="A3" s="7" t="inlineStr">
        <is>
          <t>Tender intake</t>
        </is>
      </c>
      <c r="B3" s="7">
        <f>COUNTIFS(Features!$B$2:$B$79,$A3,Features!$G$2:$G$79,B$2)</f>
        <v/>
      </c>
      <c r="C3" s="7">
        <f>COUNTIFS(Features!$B$2:$B$79,$A3,Features!$G$2:$G$79,C$2)</f>
        <v/>
      </c>
      <c r="D3" s="7">
        <f>COUNTIFS(Features!$B$2:$B$79,$A3,Features!$G$2:$G$79,D$2)</f>
        <v/>
      </c>
      <c r="E3" s="7">
        <f>SUM(B3:D3)</f>
        <v/>
      </c>
    </row>
    <row r="4">
      <c r="A4" s="7" t="inlineStr">
        <is>
          <t>Bid workspace</t>
        </is>
      </c>
      <c r="B4" s="7">
        <f>COUNTIFS(Features!$B$2:$B$79,$A4,Features!$G$2:$G$79,B$2)</f>
        <v/>
      </c>
      <c r="C4" s="7">
        <f>COUNTIFS(Features!$B$2:$B$79,$A4,Features!$G$2:$G$79,C$2)</f>
        <v/>
      </c>
      <c r="D4" s="7">
        <f>COUNTIFS(Features!$B$2:$B$79,$A4,Features!$G$2:$G$79,D$2)</f>
        <v/>
      </c>
      <c r="E4" s="7">
        <f>SUM(B4:D4)</f>
        <v/>
      </c>
    </row>
    <row r="5">
      <c r="A5" s="7" t="inlineStr">
        <is>
          <t>Design</t>
        </is>
      </c>
      <c r="B5" s="7">
        <f>COUNTIFS(Features!$B$2:$B$79,$A5,Features!$G$2:$G$79,B$2)</f>
        <v/>
      </c>
      <c r="C5" s="7">
        <f>COUNTIFS(Features!$B$2:$B$79,$A5,Features!$G$2:$G$79,C$2)</f>
        <v/>
      </c>
      <c r="D5" s="7">
        <f>COUNTIFS(Features!$B$2:$B$79,$A5,Features!$G$2:$G$79,D$2)</f>
        <v/>
      </c>
      <c r="E5" s="7">
        <f>SUM(B5:D5)</f>
        <v/>
      </c>
    </row>
    <row r="6">
      <c r="A6" s="7" t="inlineStr">
        <is>
          <t>Sizing</t>
        </is>
      </c>
      <c r="B6" s="7">
        <f>COUNTIFS(Features!$B$2:$B$79,$A6,Features!$G$2:$G$79,B$2)</f>
        <v/>
      </c>
      <c r="C6" s="7">
        <f>COUNTIFS(Features!$B$2:$B$79,$A6,Features!$G$2:$G$79,C$2)</f>
        <v/>
      </c>
      <c r="D6" s="7">
        <f>COUNTIFS(Features!$B$2:$B$79,$A6,Features!$G$2:$G$79,D$2)</f>
        <v/>
      </c>
      <c r="E6" s="7">
        <f>SUM(B6:D6)</f>
        <v/>
      </c>
    </row>
    <row r="7">
      <c r="A7" s="7" t="inlineStr">
        <is>
          <t>Finance</t>
        </is>
      </c>
      <c r="B7" s="7">
        <f>COUNTIFS(Features!$B$2:$B$79,$A7,Features!$G$2:$G$79,B$2)</f>
        <v/>
      </c>
      <c r="C7" s="7">
        <f>COUNTIFS(Features!$B$2:$B$79,$A7,Features!$G$2:$G$79,C$2)</f>
        <v/>
      </c>
      <c r="D7" s="7">
        <f>COUNTIFS(Features!$B$2:$B$79,$A7,Features!$G$2:$G$79,D$2)</f>
        <v/>
      </c>
      <c r="E7" s="7">
        <f>SUM(B7:D7)</f>
        <v/>
      </c>
    </row>
    <row r="8">
      <c r="A8" s="7" t="inlineStr">
        <is>
          <t>What-if</t>
        </is>
      </c>
      <c r="B8" s="7">
        <f>COUNTIFS(Features!$B$2:$B$79,$A8,Features!$G$2:$G$79,B$2)</f>
        <v/>
      </c>
      <c r="C8" s="7">
        <f>COUNTIFS(Features!$B$2:$B$79,$A8,Features!$G$2:$G$79,C$2)</f>
        <v/>
      </c>
      <c r="D8" s="7">
        <f>COUNTIFS(Features!$B$2:$B$79,$A8,Features!$G$2:$G$79,D$2)</f>
        <v/>
      </c>
      <c r="E8" s="7">
        <f>SUM(B8:D8)</f>
        <v/>
      </c>
    </row>
    <row r="9">
      <c r="A9" s="7" t="inlineStr">
        <is>
          <t>Evidence</t>
        </is>
      </c>
      <c r="B9" s="7">
        <f>COUNTIFS(Features!$B$2:$B$79,$A9,Features!$G$2:$G$79,B$2)</f>
        <v/>
      </c>
      <c r="C9" s="7">
        <f>COUNTIFS(Features!$B$2:$B$79,$A9,Features!$G$2:$G$79,C$2)</f>
        <v/>
      </c>
      <c r="D9" s="7">
        <f>COUNTIFS(Features!$B$2:$B$79,$A9,Features!$G$2:$G$79,D$2)</f>
        <v/>
      </c>
      <c r="E9" s="7">
        <f>SUM(B9:D9)</f>
        <v/>
      </c>
    </row>
    <row r="10">
      <c r="A10" s="7" t="inlineStr">
        <is>
          <t>Platform</t>
        </is>
      </c>
      <c r="B10" s="7">
        <f>COUNTIFS(Features!$B$2:$B$79,$A10,Features!$G$2:$G$79,B$2)</f>
        <v/>
      </c>
      <c r="C10" s="7">
        <f>COUNTIFS(Features!$B$2:$B$79,$A10,Features!$G$2:$G$79,C$2)</f>
        <v/>
      </c>
      <c r="D10" s="7">
        <f>COUNTIFS(Features!$B$2:$B$79,$A10,Features!$G$2:$G$79,D$2)</f>
        <v/>
      </c>
      <c r="E10" s="7">
        <f>SUM(B10:D10)</f>
        <v/>
      </c>
    </row>
    <row r="11">
      <c r="A11" s="5" t="inlineStr">
        <is>
          <t>Total</t>
        </is>
      </c>
      <c r="B11" s="5">
        <f>SUM(B3:B10)</f>
        <v/>
      </c>
      <c r="C11" s="5">
        <f>SUM(C3:C10)</f>
        <v/>
      </c>
      <c r="D11" s="5">
        <f>SUM(D3:D10)</f>
        <v/>
      </c>
      <c r="E11" s="5">
        <f>SUM(E3:E10)</f>
        <v/>
      </c>
    </row>
    <row r="12">
      <c r="A12" s="7" t="n"/>
      <c r="B12" s="7" t="n"/>
      <c r="C12" s="7" t="n"/>
      <c r="D12" s="7" t="n"/>
      <c r="E12" s="7" t="n"/>
    </row>
    <row r="13">
      <c r="A13" s="5" t="inlineStr">
        <is>
          <t>Features by priority and status</t>
        </is>
      </c>
      <c r="B13" s="7" t="n"/>
      <c r="C13" s="7" t="n"/>
      <c r="D13" s="7" t="n"/>
      <c r="E13" s="7" t="n"/>
    </row>
    <row r="14">
      <c r="A14" s="6" t="inlineStr">
        <is>
          <t>Priority</t>
        </is>
      </c>
      <c r="B14" s="6" t="inlineStr">
        <is>
          <t>Live</t>
        </is>
      </c>
      <c r="C14" s="6" t="inlineStr">
        <is>
          <t>Extend</t>
        </is>
      </c>
      <c r="D14" s="6" t="inlineStr">
        <is>
          <t>Build</t>
        </is>
      </c>
      <c r="E14" s="6" t="inlineStr">
        <is>
          <t>Total</t>
        </is>
      </c>
    </row>
    <row r="15">
      <c r="A15" s="7" t="inlineStr">
        <is>
          <t>P1</t>
        </is>
      </c>
      <c r="B15" s="7">
        <f>COUNTIFS(Features!$H$2:$H$79,$A15,Features!$G$2:$G$79,B$14)</f>
        <v/>
      </c>
      <c r="C15" s="7">
        <f>COUNTIFS(Features!$H$2:$H$79,$A15,Features!$G$2:$G$79,C$14)</f>
        <v/>
      </c>
      <c r="D15" s="7">
        <f>COUNTIFS(Features!$H$2:$H$79,$A15,Features!$G$2:$G$79,D$14)</f>
        <v/>
      </c>
      <c r="E15" s="7">
        <f>SUM(B15:D15)</f>
        <v/>
      </c>
    </row>
    <row r="16">
      <c r="A16" s="7" t="inlineStr">
        <is>
          <t>P2</t>
        </is>
      </c>
      <c r="B16" s="7">
        <f>COUNTIFS(Features!$H$2:$H$79,$A16,Features!$G$2:$G$79,B$14)</f>
        <v/>
      </c>
      <c r="C16" s="7">
        <f>COUNTIFS(Features!$H$2:$H$79,$A16,Features!$G$2:$G$79,C$14)</f>
        <v/>
      </c>
      <c r="D16" s="7">
        <f>COUNTIFS(Features!$H$2:$H$79,$A16,Features!$G$2:$G$79,D$14)</f>
        <v/>
      </c>
      <c r="E16" s="7">
        <f>SUM(B16:D16)</f>
        <v/>
      </c>
    </row>
    <row r="17">
      <c r="A17" s="7" t="inlineStr">
        <is>
          <t>P3</t>
        </is>
      </c>
      <c r="B17" s="7">
        <f>COUNTIFS(Features!$H$2:$H$79,$A17,Features!$G$2:$G$79,B$14)</f>
        <v/>
      </c>
      <c r="C17" s="7">
        <f>COUNTIFS(Features!$H$2:$H$79,$A17,Features!$G$2:$G$79,C$14)</f>
        <v/>
      </c>
      <c r="D17" s="7">
        <f>COUNTIFS(Features!$H$2:$H$79,$A17,Features!$G$2:$G$79,D$14)</f>
        <v/>
      </c>
      <c r="E17" s="7">
        <f>SUM(B17:D17)</f>
        <v/>
      </c>
    </row>
    <row r="18">
      <c r="A18" s="7" t="n"/>
      <c r="B18" s="7" t="n"/>
      <c r="C18" s="7" t="n"/>
      <c r="D18" s="7" t="n"/>
      <c r="E18" s="7" t="n"/>
    </row>
    <row r="19">
      <c r="A19" s="5" t="inlineStr">
        <is>
          <t>Work to do, by team (Extend + Build)</t>
        </is>
      </c>
      <c r="B19" s="7" t="n"/>
      <c r="C19" s="7" t="n"/>
      <c r="D19" s="7" t="n"/>
      <c r="E19" s="7" t="n"/>
    </row>
    <row r="20">
      <c r="A20" s="6" t="inlineStr">
        <is>
          <t>Team</t>
        </is>
      </c>
      <c r="B20" s="6" t="inlineStr">
        <is>
          <t>Extend</t>
        </is>
      </c>
      <c r="C20" s="6" t="inlineStr">
        <is>
          <t>Build</t>
        </is>
      </c>
      <c r="D20" s="6" t="inlineStr">
        <is>
          <t>Total</t>
        </is>
      </c>
      <c r="E20" s="7" t="n"/>
    </row>
    <row r="21">
      <c r="A21" s="7" t="inlineStr">
        <is>
          <t>Projects</t>
        </is>
      </c>
      <c r="B21" s="7">
        <f>COUNTIFS(Features!$E$2:$E$79,$A21,Features!$G$2:$G$79,"Extend")</f>
        <v/>
      </c>
      <c r="C21" s="7">
        <f>COUNTIFS(Features!$E$2:$E$79,$A21,Features!$G$2:$G$79,"Build")</f>
        <v/>
      </c>
      <c r="D21" s="7">
        <f>B21+C21</f>
        <v/>
      </c>
      <c r="E21" s="7" t="n"/>
    </row>
    <row r="22">
      <c r="A22" s="7" t="inlineStr">
        <is>
          <t>Design</t>
        </is>
      </c>
      <c r="B22" s="7">
        <f>COUNTIFS(Features!$E$2:$E$79,$A22,Features!$G$2:$G$79,"Extend")</f>
        <v/>
      </c>
      <c r="C22" s="7">
        <f>COUNTIFS(Features!$E$2:$E$79,$A22,Features!$G$2:$G$79,"Build")</f>
        <v/>
      </c>
      <c r="D22" s="7">
        <f>B22+C22</f>
        <v/>
      </c>
      <c r="E22" s="7" t="n"/>
    </row>
    <row r="23">
      <c r="A23" s="7" t="inlineStr">
        <is>
          <t>Finance</t>
        </is>
      </c>
      <c r="B23" s="7">
        <f>COUNTIFS(Features!$E$2:$E$79,$A23,Features!$G$2:$G$79,"Extend")</f>
        <v/>
      </c>
      <c r="C23" s="7">
        <f>COUNTIFS(Features!$E$2:$E$79,$A23,Features!$G$2:$G$79,"Build")</f>
        <v/>
      </c>
      <c r="D23" s="7">
        <f>B23+C23</f>
        <v/>
      </c>
      <c r="E23" s="7" t="n"/>
    </row>
    <row r="24">
      <c r="A24" s="7" t="inlineStr">
        <is>
          <t>Legal</t>
        </is>
      </c>
      <c r="B24" s="7">
        <f>COUNTIFS(Features!$E$2:$E$79,$A24,Features!$G$2:$G$79,"Extend")</f>
        <v/>
      </c>
      <c r="C24" s="7">
        <f>COUNTIFS(Features!$E$2:$E$79,$A24,Features!$G$2:$G$79,"Build")</f>
        <v/>
      </c>
      <c r="D24" s="7">
        <f>B24+C24</f>
        <v/>
      </c>
      <c r="E24" s="7" t="n"/>
    </row>
    <row r="25">
      <c r="A25" s="7" t="inlineStr">
        <is>
          <t>Management</t>
        </is>
      </c>
      <c r="B25" s="7">
        <f>COUNTIFS(Features!$E$2:$E$79,$A25,Features!$G$2:$G$79,"Extend")</f>
        <v/>
      </c>
      <c r="C25" s="7">
        <f>COUNTIFS(Features!$E$2:$E$79,$A25,Features!$G$2:$G$79,"Build")</f>
        <v/>
      </c>
      <c r="D25" s="7">
        <f>B25+C25</f>
        <v/>
      </c>
      <c r="E25" s="7" t="n"/>
    </row>
    <row r="26">
      <c r="A26" s="7" t="inlineStr">
        <is>
          <t>IT</t>
        </is>
      </c>
      <c r="B26" s="7">
        <f>COUNTIFS(Features!$E$2:$E$79,$A26,Features!$G$2:$G$79,"Extend")</f>
        <v/>
      </c>
      <c r="C26" s="7">
        <f>COUNTIFS(Features!$E$2:$E$79,$A26,Features!$G$2:$G$79,"Build")</f>
        <v/>
      </c>
      <c r="D26" s="7">
        <f>B26+C26</f>
        <v/>
      </c>
      <c r="E26" s="7" t="n"/>
    </row>
    <row r="27">
      <c r="A27" s="7" t="inlineStr">
        <is>
          <t>All</t>
        </is>
      </c>
      <c r="B27" s="7">
        <f>COUNTIFS(Features!$E$2:$E$79,$A27,Features!$G$2:$G$79,"Extend")</f>
        <v/>
      </c>
      <c r="C27" s="7">
        <f>COUNTIFS(Features!$E$2:$E$79,$A27,Features!$G$2:$G$79,"Build")</f>
        <v/>
      </c>
      <c r="D27" s="7">
        <f>B27+C27</f>
        <v/>
      </c>
      <c r="E27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90" customWidth="1" min="2" max="2"/>
    <col width="14" customWidth="1" min="3" max="3"/>
    <col width="40" customWidth="1" min="4" max="4"/>
  </cols>
  <sheetData>
    <row r="1">
      <c r="A1" s="3" t="inlineStr">
        <is>
          <t>Step</t>
        </is>
      </c>
      <c r="B1" s="3" t="inlineStr">
        <is>
          <t>What is on it</t>
        </is>
      </c>
      <c r="C1" s="3" t="inlineStr">
        <is>
          <t>Owner</t>
        </is>
      </c>
      <c r="D1" s="3" t="inlineStr">
        <is>
          <t>Gate</t>
        </is>
      </c>
    </row>
    <row r="2">
      <c r="A2" s="4" t="inlineStr">
        <is>
          <t>1 Tender</t>
        </is>
      </c>
      <c r="B2" s="4" t="inlineStr">
        <is>
          <t>The reading, the conditions, amendments, clarifications, formats (from the DMZ package)</t>
        </is>
      </c>
      <c r="C2" s="4" t="inlineStr">
        <is>
          <t>Legal</t>
        </is>
      </c>
      <c r="D2" s="4" t="inlineStr">
        <is>
          <t>Review and sign off the conditions</t>
        </is>
      </c>
    </row>
    <row r="3">
      <c r="A3" s="4" t="inlineStr">
        <is>
          <t>2 Bid inputs</t>
        </is>
      </c>
      <c r="B3" s="4" t="inlineStr">
        <is>
          <t>Contracted MW, dates, supply profile, planning choices, market sale, assumptions register</t>
        </is>
      </c>
      <c r="C3" s="4" t="inlineStr">
        <is>
          <t>Projects</t>
        </is>
      </c>
      <c r="D3" s="4" t="inlineStr">
        <is>
          <t>Every input evidenced and signed off</t>
        </is>
      </c>
    </row>
    <row r="4">
      <c r="A4" s="4" t="inlineStr">
        <is>
          <t>3 Design</t>
        </is>
      </c>
      <c r="B4" s="4" t="inlineStr">
        <is>
          <t>Sources, sites and co-location, schematic and losses, profiles with CUF files and the 25-year justification, DSM inputs, studios</t>
        </is>
      </c>
      <c r="C4" s="4" t="inlineStr">
        <is>
          <t>Design</t>
        </is>
      </c>
      <c r="D4" s="4" t="inlineStr">
        <is>
          <t>Sign off the design</t>
        </is>
      </c>
    </row>
    <row r="5">
      <c r="A5" s="4" t="inlineStr">
        <is>
          <t>4 Finance inputs</t>
        </is>
      </c>
      <c r="B5" s="4" t="inlineStr">
        <is>
          <t>Financing, construction schedule and IDC, working capital, repayment and sculpting, refinancing, tax</t>
        </is>
      </c>
      <c r="C5" s="4" t="inlineStr">
        <is>
          <t>Finance</t>
        </is>
      </c>
      <c r="D5" s="4" t="inlineStr">
        <is>
          <t>Sign off the financing case</t>
        </is>
      </c>
    </row>
    <row r="6">
      <c r="A6" s="4" t="inlineStr">
        <is>
          <t>5 Sizing</t>
        </is>
      </c>
      <c r="B6" s="4" t="inlineStr">
        <is>
          <t>The sizing engine on the signed-off inputs; a seed from the last run</t>
        </is>
      </c>
      <c r="C6" s="4" t="inlineStr">
        <is>
          <t>Design</t>
        </is>
      </c>
      <c r="D6" s="4" t="inlineStr">
        <is>
          <t>Run; re-run after a change</t>
        </is>
      </c>
    </row>
    <row r="7">
      <c r="A7" s="4" t="inlineStr">
        <is>
          <t>6 Results</t>
        </is>
      </c>
      <c r="B7" s="4" t="inlineStr">
        <is>
          <t>The plant, the compliance table, dispatch charts, the 15-minute dispatch</t>
        </is>
      </c>
      <c r="C7" s="4" t="inlineStr">
        <is>
          <t>All</t>
        </is>
      </c>
      <c r="D7" s="4" t="inlineStr">
        <is>
          <t>Review</t>
        </is>
      </c>
    </row>
    <row r="8">
      <c r="A8" s="4" t="inlineStr">
        <is>
          <t>7 Financial model</t>
        </is>
      </c>
      <c r="B8" s="4" t="inlineStr">
        <is>
          <t>Monthly construction then yearly operations; the traceable model; Excel with formulas</t>
        </is>
      </c>
      <c r="C8" s="4" t="inlineStr">
        <is>
          <t>Finance</t>
        </is>
      </c>
      <c r="D8" s="4" t="inlineStr">
        <is>
          <t>Review; sign off the model</t>
        </is>
      </c>
    </row>
    <row r="9">
      <c r="A9" s="4" t="inlineStr">
        <is>
          <t>8 What-if</t>
        </is>
      </c>
      <c r="B9" s="4" t="inlineStr">
        <is>
          <t>The sized plant as the base case; levers to reach a tariff on bid day; sensitivities</t>
        </is>
      </c>
      <c r="C9" s="4" t="inlineStr">
        <is>
          <t>Management</t>
        </is>
      </c>
      <c r="D9" s="4" t="inlineStr">
        <is>
          <t>Decide the tariff</t>
        </is>
      </c>
    </row>
    <row r="10">
      <c r="A10" s="4" t="inlineStr">
        <is>
          <t>9 Bid forms</t>
        </is>
      </c>
      <c r="B10" s="4" t="inlineStr">
        <is>
          <t>Formats filled and reviewed, letters, the bid pack, the evidence register</t>
        </is>
      </c>
      <c r="C10" s="4" t="inlineStr">
        <is>
          <t>Legal</t>
        </is>
      </c>
      <c r="D10" s="4" t="inlineStr">
        <is>
          <t>Review each format</t>
        </is>
      </c>
    </row>
    <row r="11">
      <c r="A11" s="4" t="inlineStr">
        <is>
          <t>10 Submission</t>
        </is>
      </c>
      <c r="B11" s="4" t="inlineStr">
        <is>
          <t>The bid frozen as a version; what was submitted, by whom, when</t>
        </is>
      </c>
      <c r="C11" s="4" t="inlineStr">
        <is>
          <t>Management</t>
        </is>
      </c>
      <c r="D11" s="4" t="inlineStr">
        <is>
          <t>Freeze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2026-10-29T15:08:54Z</dcterms:created>
  <dcterms:modified xmlns:dcterms="http://purl.org/dc/terms/" xmlns:xsi="http://www.w3.org/2001/XMLSchema-instance" xsi:type="dcterms:W3CDTF">2026-10-29T15:08:54Z</dcterms:modified>
</cp:coreProperties>
</file>